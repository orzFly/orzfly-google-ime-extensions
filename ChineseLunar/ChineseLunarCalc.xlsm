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35" windowWidth="9435" windowHeight="615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Sheet1!$A$1:$D$202</definedName>
  </definedNames>
  <calcPr calcId="144525"/>
</workbook>
</file>

<file path=xl/calcChain.xml><?xml version="1.0" encoding="utf-8"?>
<calcChain xmlns="http://schemas.openxmlformats.org/spreadsheetml/2006/main">
  <c r="E63" i="1" l="1"/>
  <c r="F63" i="1"/>
  <c r="G63" i="1"/>
  <c r="H63" i="1"/>
  <c r="J63" i="1"/>
  <c r="I63" i="1" s="1"/>
  <c r="K63" i="1" s="1"/>
  <c r="M63" i="1"/>
  <c r="N63" i="1" s="1"/>
  <c r="E64" i="1"/>
  <c r="F64" i="1"/>
  <c r="J64" i="1" s="1"/>
  <c r="G64" i="1"/>
  <c r="H64" i="1"/>
  <c r="M64" i="1"/>
  <c r="N64" i="1" s="1"/>
  <c r="E65" i="1"/>
  <c r="F65" i="1"/>
  <c r="G65" i="1"/>
  <c r="H65" i="1"/>
  <c r="J65" i="1"/>
  <c r="I65" i="1" s="1"/>
  <c r="K65" i="1" s="1"/>
  <c r="M65" i="1" s="1"/>
  <c r="N65" i="1" s="1"/>
  <c r="E66" i="1"/>
  <c r="F66" i="1"/>
  <c r="J66" i="1" s="1"/>
  <c r="G66" i="1"/>
  <c r="H66" i="1"/>
  <c r="E67" i="1"/>
  <c r="F67" i="1"/>
  <c r="G67" i="1"/>
  <c r="H67" i="1"/>
  <c r="I67" i="1"/>
  <c r="J67" i="1"/>
  <c r="K67" i="1"/>
  <c r="M67" i="1"/>
  <c r="N67" i="1"/>
  <c r="E68" i="1"/>
  <c r="F68" i="1"/>
  <c r="J68" i="1" s="1"/>
  <c r="I68" i="1" s="1"/>
  <c r="K68" i="1" s="1"/>
  <c r="M68" i="1" s="1"/>
  <c r="N68" i="1" s="1"/>
  <c r="G68" i="1"/>
  <c r="H68" i="1"/>
  <c r="E69" i="1"/>
  <c r="F69" i="1"/>
  <c r="G69" i="1"/>
  <c r="H69" i="1"/>
  <c r="I69" i="1"/>
  <c r="J69" i="1"/>
  <c r="K69" i="1"/>
  <c r="M69" i="1"/>
  <c r="N69" i="1"/>
  <c r="E70" i="1"/>
  <c r="F70" i="1"/>
  <c r="J70" i="1" s="1"/>
  <c r="G70" i="1"/>
  <c r="H70" i="1"/>
  <c r="E71" i="1"/>
  <c r="F71" i="1"/>
  <c r="G71" i="1"/>
  <c r="H71" i="1"/>
  <c r="J71" i="1"/>
  <c r="I71" i="1" s="1"/>
  <c r="K71" i="1" s="1"/>
  <c r="M71" i="1"/>
  <c r="N71" i="1" s="1"/>
  <c r="E72" i="1"/>
  <c r="F72" i="1"/>
  <c r="G72" i="1"/>
  <c r="H72" i="1"/>
  <c r="J72" i="1"/>
  <c r="I72" i="1" s="1"/>
  <c r="K72" i="1" s="1"/>
  <c r="M72" i="1"/>
  <c r="E73" i="1"/>
  <c r="F73" i="1"/>
  <c r="G73" i="1"/>
  <c r="H73" i="1"/>
  <c r="I73" i="1"/>
  <c r="J73" i="1"/>
  <c r="K73" i="1"/>
  <c r="M73" i="1" s="1"/>
  <c r="N73" i="1" s="1"/>
  <c r="E74" i="1"/>
  <c r="F74" i="1"/>
  <c r="J74" i="1" s="1"/>
  <c r="I74" i="1" s="1"/>
  <c r="K74" i="1" s="1"/>
  <c r="G74" i="1"/>
  <c r="H74" i="1"/>
  <c r="M74" i="1"/>
  <c r="N74" i="1" s="1"/>
  <c r="E75" i="1"/>
  <c r="F75" i="1"/>
  <c r="G75" i="1"/>
  <c r="H75" i="1"/>
  <c r="J75" i="1"/>
  <c r="I75" i="1" s="1"/>
  <c r="K75" i="1" s="1"/>
  <c r="M75" i="1"/>
  <c r="N75" i="1" s="1"/>
  <c r="E76" i="1"/>
  <c r="F76" i="1"/>
  <c r="J76" i="1" s="1"/>
  <c r="G76" i="1"/>
  <c r="H76" i="1"/>
  <c r="E77" i="1"/>
  <c r="F77" i="1"/>
  <c r="G77" i="1"/>
  <c r="H77" i="1"/>
  <c r="I77" i="1"/>
  <c r="J77" i="1"/>
  <c r="K77" i="1"/>
  <c r="M77" i="1"/>
  <c r="N77" i="1"/>
  <c r="E78" i="1"/>
  <c r="F78" i="1"/>
  <c r="J78" i="1" s="1"/>
  <c r="I78" i="1" s="1"/>
  <c r="K78" i="1" s="1"/>
  <c r="M78" i="1" s="1"/>
  <c r="N78" i="1" s="1"/>
  <c r="G78" i="1"/>
  <c r="H78" i="1"/>
  <c r="E79" i="1"/>
  <c r="F79" i="1"/>
  <c r="G79" i="1"/>
  <c r="H79" i="1"/>
  <c r="I79" i="1"/>
  <c r="J79" i="1"/>
  <c r="K79" i="1"/>
  <c r="M79" i="1"/>
  <c r="N79" i="1"/>
  <c r="E80" i="1"/>
  <c r="F80" i="1"/>
  <c r="J80" i="1" s="1"/>
  <c r="G80" i="1"/>
  <c r="H80" i="1"/>
  <c r="E81" i="1"/>
  <c r="F81" i="1"/>
  <c r="G81" i="1"/>
  <c r="H81" i="1"/>
  <c r="I81" i="1"/>
  <c r="J81" i="1"/>
  <c r="K81" i="1"/>
  <c r="M81" i="1" s="1"/>
  <c r="N81" i="1" s="1"/>
  <c r="E82" i="1"/>
  <c r="F82" i="1"/>
  <c r="J82" i="1" s="1"/>
  <c r="G82" i="1"/>
  <c r="H82" i="1"/>
  <c r="M82" i="1"/>
  <c r="N82" i="1" s="1"/>
  <c r="E83" i="1"/>
  <c r="F83" i="1"/>
  <c r="G83" i="1"/>
  <c r="H83" i="1"/>
  <c r="J83" i="1"/>
  <c r="I83" i="1" s="1"/>
  <c r="K83" i="1" s="1"/>
  <c r="M83" i="1"/>
  <c r="N83" i="1" s="1"/>
  <c r="E84" i="1"/>
  <c r="F84" i="1"/>
  <c r="G84" i="1"/>
  <c r="H84" i="1"/>
  <c r="J84" i="1"/>
  <c r="I84" i="1" s="1"/>
  <c r="K84" i="1" s="1"/>
  <c r="M84" i="1" s="1"/>
  <c r="N84" i="1" s="1"/>
  <c r="E85" i="1"/>
  <c r="F85" i="1"/>
  <c r="G85" i="1"/>
  <c r="H85" i="1"/>
  <c r="J85" i="1"/>
  <c r="I85" i="1" s="1"/>
  <c r="K85" i="1" s="1"/>
  <c r="M85" i="1"/>
  <c r="N85" i="1" s="1"/>
  <c r="E86" i="1"/>
  <c r="F86" i="1"/>
  <c r="J86" i="1" s="1"/>
  <c r="G86" i="1"/>
  <c r="H86" i="1"/>
  <c r="E87" i="1"/>
  <c r="F87" i="1"/>
  <c r="G87" i="1"/>
  <c r="H87" i="1"/>
  <c r="I87" i="1"/>
  <c r="J87" i="1"/>
  <c r="K87" i="1"/>
  <c r="M87" i="1"/>
  <c r="N87" i="1"/>
  <c r="E88" i="1"/>
  <c r="F88" i="1"/>
  <c r="J88" i="1" s="1"/>
  <c r="I88" i="1" s="1"/>
  <c r="K88" i="1" s="1"/>
  <c r="G88" i="1"/>
  <c r="H88" i="1"/>
  <c r="M88" i="1"/>
  <c r="N88" i="1" s="1"/>
  <c r="E89" i="1"/>
  <c r="F89" i="1"/>
  <c r="G89" i="1"/>
  <c r="H89" i="1"/>
  <c r="J89" i="1"/>
  <c r="I89" i="1" s="1"/>
  <c r="K89" i="1" s="1"/>
  <c r="M89" i="1" s="1"/>
  <c r="N89" i="1" s="1"/>
  <c r="E90" i="1"/>
  <c r="F90" i="1"/>
  <c r="G90" i="1"/>
  <c r="H90" i="1"/>
  <c r="J90" i="1"/>
  <c r="I90" i="1" s="1"/>
  <c r="K90" i="1" s="1"/>
  <c r="M90" i="1"/>
  <c r="E91" i="1"/>
  <c r="F91" i="1"/>
  <c r="G91" i="1"/>
  <c r="H91" i="1"/>
  <c r="I91" i="1"/>
  <c r="J91" i="1"/>
  <c r="K91" i="1"/>
  <c r="M91" i="1"/>
  <c r="N91" i="1"/>
  <c r="E92" i="1"/>
  <c r="F92" i="1"/>
  <c r="J92" i="1" s="1"/>
  <c r="G92" i="1"/>
  <c r="H92" i="1"/>
  <c r="E93" i="1"/>
  <c r="F93" i="1"/>
  <c r="G93" i="1"/>
  <c r="H93" i="1"/>
  <c r="J93" i="1"/>
  <c r="I93" i="1" s="1"/>
  <c r="K93" i="1" s="1"/>
  <c r="M93" i="1"/>
  <c r="N93" i="1" s="1"/>
  <c r="E94" i="1"/>
  <c r="F94" i="1"/>
  <c r="G94" i="1"/>
  <c r="H94" i="1"/>
  <c r="J94" i="1"/>
  <c r="I94" i="1" s="1"/>
  <c r="K94" i="1" s="1"/>
  <c r="M94" i="1"/>
  <c r="E95" i="1"/>
  <c r="F95" i="1"/>
  <c r="G95" i="1"/>
  <c r="H95" i="1"/>
  <c r="I95" i="1"/>
  <c r="J95" i="1"/>
  <c r="K95" i="1"/>
  <c r="M95" i="1" s="1"/>
  <c r="N95" i="1" s="1"/>
  <c r="E96" i="1"/>
  <c r="F96" i="1"/>
  <c r="J96" i="1" s="1"/>
  <c r="I96" i="1" s="1"/>
  <c r="K96" i="1" s="1"/>
  <c r="G96" i="1"/>
  <c r="H96" i="1"/>
  <c r="M96" i="1"/>
  <c r="N96" i="1" s="1"/>
  <c r="E97" i="1"/>
  <c r="F97" i="1"/>
  <c r="G97" i="1"/>
  <c r="H97" i="1"/>
  <c r="J97" i="1"/>
  <c r="I97" i="1" s="1"/>
  <c r="K97" i="1" s="1"/>
  <c r="M97" i="1" s="1"/>
  <c r="N97" i="1" s="1"/>
  <c r="E98" i="1"/>
  <c r="F98" i="1"/>
  <c r="G98" i="1"/>
  <c r="H98" i="1"/>
  <c r="J98" i="1"/>
  <c r="I98" i="1" s="1"/>
  <c r="K98" i="1" s="1"/>
  <c r="M98" i="1"/>
  <c r="E99" i="1"/>
  <c r="F99" i="1"/>
  <c r="G99" i="1"/>
  <c r="H99" i="1"/>
  <c r="I99" i="1"/>
  <c r="J99" i="1"/>
  <c r="K99" i="1"/>
  <c r="M99" i="1"/>
  <c r="N99" i="1"/>
  <c r="E100" i="1"/>
  <c r="F100" i="1"/>
  <c r="J100" i="1" s="1"/>
  <c r="G100" i="1"/>
  <c r="H100" i="1"/>
  <c r="E101" i="1"/>
  <c r="F101" i="1"/>
  <c r="G101" i="1"/>
  <c r="H101" i="1"/>
  <c r="J101" i="1"/>
  <c r="I101" i="1" s="1"/>
  <c r="K101" i="1" s="1"/>
  <c r="M101" i="1"/>
  <c r="N101" i="1" s="1"/>
  <c r="E102" i="1"/>
  <c r="F102" i="1"/>
  <c r="G102" i="1"/>
  <c r="H102" i="1"/>
  <c r="J102" i="1"/>
  <c r="I102" i="1" s="1"/>
  <c r="K102" i="1" s="1"/>
  <c r="M102" i="1"/>
  <c r="E103" i="1"/>
  <c r="F103" i="1"/>
  <c r="G103" i="1"/>
  <c r="H103" i="1"/>
  <c r="I103" i="1"/>
  <c r="J103" i="1"/>
  <c r="K103" i="1"/>
  <c r="M103" i="1" s="1"/>
  <c r="N103" i="1" s="1"/>
  <c r="E104" i="1"/>
  <c r="F104" i="1"/>
  <c r="J104" i="1" s="1"/>
  <c r="I104" i="1" s="1"/>
  <c r="K104" i="1" s="1"/>
  <c r="G104" i="1"/>
  <c r="H104" i="1"/>
  <c r="M104" i="1"/>
  <c r="N104" i="1" s="1"/>
  <c r="E105" i="1"/>
  <c r="F105" i="1"/>
  <c r="G105" i="1"/>
  <c r="H105" i="1"/>
  <c r="J105" i="1"/>
  <c r="I105" i="1" s="1"/>
  <c r="K105" i="1" s="1"/>
  <c r="M105" i="1"/>
  <c r="N105" i="1" s="1"/>
  <c r="E106" i="1"/>
  <c r="F106" i="1"/>
  <c r="J106" i="1" s="1"/>
  <c r="G106" i="1"/>
  <c r="H106" i="1"/>
  <c r="E107" i="1"/>
  <c r="F107" i="1"/>
  <c r="G107" i="1"/>
  <c r="H107" i="1"/>
  <c r="I107" i="1"/>
  <c r="J107" i="1"/>
  <c r="K107" i="1"/>
  <c r="M107" i="1"/>
  <c r="N107" i="1"/>
  <c r="E108" i="1"/>
  <c r="F108" i="1"/>
  <c r="J108" i="1" s="1"/>
  <c r="I108" i="1" s="1"/>
  <c r="K108" i="1" s="1"/>
  <c r="M108" i="1" s="1"/>
  <c r="N108" i="1" s="1"/>
  <c r="G108" i="1"/>
  <c r="H108" i="1"/>
  <c r="E109" i="1"/>
  <c r="F109" i="1"/>
  <c r="G109" i="1"/>
  <c r="H109" i="1"/>
  <c r="I109" i="1"/>
  <c r="J109" i="1"/>
  <c r="K109" i="1"/>
  <c r="M109" i="1"/>
  <c r="N109" i="1"/>
  <c r="E110" i="1"/>
  <c r="F110" i="1"/>
  <c r="J110" i="1" s="1"/>
  <c r="G110" i="1"/>
  <c r="H110" i="1"/>
  <c r="E111" i="1"/>
  <c r="F111" i="1"/>
  <c r="G111" i="1"/>
  <c r="H111" i="1"/>
  <c r="I111" i="1"/>
  <c r="J111" i="1"/>
  <c r="K111" i="1"/>
  <c r="M111" i="1" s="1"/>
  <c r="N111" i="1" s="1"/>
  <c r="E112" i="1"/>
  <c r="F112" i="1"/>
  <c r="J112" i="1" s="1"/>
  <c r="G112" i="1"/>
  <c r="H112" i="1"/>
  <c r="M112" i="1"/>
  <c r="N112" i="1" s="1"/>
  <c r="E113" i="1"/>
  <c r="F113" i="1"/>
  <c r="G113" i="1"/>
  <c r="H113" i="1"/>
  <c r="J113" i="1"/>
  <c r="I113" i="1" s="1"/>
  <c r="K113" i="1" s="1"/>
  <c r="M113" i="1"/>
  <c r="N113" i="1" s="1"/>
  <c r="E114" i="1"/>
  <c r="F114" i="1"/>
  <c r="G114" i="1"/>
  <c r="H114" i="1"/>
  <c r="J114" i="1"/>
  <c r="I114" i="1" s="1"/>
  <c r="K114" i="1" s="1"/>
  <c r="M114" i="1" s="1"/>
  <c r="N114" i="1" s="1"/>
  <c r="E115" i="1"/>
  <c r="F115" i="1"/>
  <c r="J115" i="1" s="1"/>
  <c r="I115" i="1" s="1"/>
  <c r="K115" i="1" s="1"/>
  <c r="G115" i="1"/>
  <c r="H115" i="1"/>
  <c r="M115" i="1"/>
  <c r="N115" i="1" s="1"/>
  <c r="E116" i="1"/>
  <c r="F116" i="1"/>
  <c r="G116" i="1"/>
  <c r="H116" i="1"/>
  <c r="J116" i="1"/>
  <c r="I116" i="1" s="1"/>
  <c r="K116" i="1" s="1"/>
  <c r="M116" i="1" s="1"/>
  <c r="N116" i="1" s="1"/>
  <c r="E117" i="1"/>
  <c r="F117" i="1"/>
  <c r="G117" i="1"/>
  <c r="H117" i="1"/>
  <c r="J117" i="1"/>
  <c r="I117" i="1" s="1"/>
  <c r="K117" i="1" s="1"/>
  <c r="M117" i="1"/>
  <c r="E118" i="1"/>
  <c r="F118" i="1"/>
  <c r="G118" i="1"/>
  <c r="H118" i="1"/>
  <c r="I118" i="1"/>
  <c r="J118" i="1"/>
  <c r="K118" i="1"/>
  <c r="M118" i="1"/>
  <c r="N118" i="1"/>
  <c r="E119" i="1"/>
  <c r="F119" i="1"/>
  <c r="J119" i="1" s="1"/>
  <c r="G119" i="1"/>
  <c r="H119" i="1"/>
  <c r="E120" i="1"/>
  <c r="F120" i="1"/>
  <c r="G120" i="1"/>
  <c r="H120" i="1"/>
  <c r="I120" i="1"/>
  <c r="J120" i="1"/>
  <c r="K120" i="1"/>
  <c r="M120" i="1"/>
  <c r="N120" i="1"/>
  <c r="E121" i="1"/>
  <c r="F121" i="1"/>
  <c r="J121" i="1" s="1"/>
  <c r="G121" i="1"/>
  <c r="H121" i="1"/>
  <c r="E122" i="1"/>
  <c r="F122" i="1"/>
  <c r="G122" i="1"/>
  <c r="H122" i="1"/>
  <c r="J122" i="1"/>
  <c r="I122" i="1" s="1"/>
  <c r="K122" i="1" s="1"/>
  <c r="M122" i="1" s="1"/>
  <c r="N122" i="1" s="1"/>
  <c r="F123" i="1"/>
  <c r="G123" i="1"/>
  <c r="H123" i="1"/>
  <c r="J123" i="1"/>
  <c r="I123" i="1" s="1"/>
  <c r="K123" i="1" s="1"/>
  <c r="M123" i="1"/>
  <c r="F124" i="1"/>
  <c r="G124" i="1"/>
  <c r="H124" i="1"/>
  <c r="I124" i="1"/>
  <c r="J124" i="1"/>
  <c r="K124" i="1"/>
  <c r="M124" i="1"/>
  <c r="F125" i="1"/>
  <c r="J125" i="1" s="1"/>
  <c r="G125" i="1"/>
  <c r="H125" i="1"/>
  <c r="F126" i="1"/>
  <c r="G126" i="1"/>
  <c r="H126" i="1"/>
  <c r="I126" i="1"/>
  <c r="J126" i="1"/>
  <c r="K126" i="1"/>
  <c r="M126" i="1"/>
  <c r="F127" i="1"/>
  <c r="J127" i="1" s="1"/>
  <c r="G127" i="1"/>
  <c r="H127" i="1"/>
  <c r="F128" i="1"/>
  <c r="G128" i="1"/>
  <c r="H128" i="1"/>
  <c r="I128" i="1"/>
  <c r="J128" i="1"/>
  <c r="K128" i="1"/>
  <c r="M128" i="1"/>
  <c r="F129" i="1"/>
  <c r="J129" i="1" s="1"/>
  <c r="G129" i="1"/>
  <c r="H129" i="1"/>
  <c r="F130" i="1"/>
  <c r="J130" i="1" s="1"/>
  <c r="I130" i="1" s="1"/>
  <c r="K130" i="1" s="1"/>
  <c r="M130" i="1" s="1"/>
  <c r="G130" i="1"/>
  <c r="H130" i="1"/>
  <c r="F131" i="1"/>
  <c r="G131" i="1"/>
  <c r="H131" i="1"/>
  <c r="J131" i="1"/>
  <c r="I131" i="1" s="1"/>
  <c r="K131" i="1" s="1"/>
  <c r="M131" i="1"/>
  <c r="F132" i="1"/>
  <c r="G132" i="1"/>
  <c r="H132" i="1"/>
  <c r="I132" i="1"/>
  <c r="J132" i="1"/>
  <c r="K132" i="1"/>
  <c r="M132" i="1"/>
  <c r="F133" i="1"/>
  <c r="J133" i="1" s="1"/>
  <c r="G133" i="1"/>
  <c r="H133" i="1"/>
  <c r="F134" i="1"/>
  <c r="G134" i="1"/>
  <c r="H134" i="1"/>
  <c r="I134" i="1"/>
  <c r="J134" i="1"/>
  <c r="K134" i="1"/>
  <c r="M134" i="1"/>
  <c r="F135" i="1"/>
  <c r="J135" i="1" s="1"/>
  <c r="G135" i="1"/>
  <c r="H135" i="1"/>
  <c r="F136" i="1"/>
  <c r="G136" i="1"/>
  <c r="H136" i="1"/>
  <c r="I136" i="1"/>
  <c r="J136" i="1"/>
  <c r="K136" i="1"/>
  <c r="M136" i="1"/>
  <c r="F137" i="1"/>
  <c r="J137" i="1" s="1"/>
  <c r="G137" i="1"/>
  <c r="H137" i="1"/>
  <c r="M137" i="1"/>
  <c r="F138" i="1"/>
  <c r="G138" i="1"/>
  <c r="H138" i="1"/>
  <c r="J138" i="1"/>
  <c r="I138" i="1" s="1"/>
  <c r="K138" i="1" s="1"/>
  <c r="M138" i="1" s="1"/>
  <c r="F139" i="1"/>
  <c r="G139" i="1"/>
  <c r="H139" i="1"/>
  <c r="J139" i="1"/>
  <c r="I139" i="1" s="1"/>
  <c r="K139" i="1" s="1"/>
  <c r="M139" i="1"/>
  <c r="F140" i="1"/>
  <c r="G140" i="1"/>
  <c r="H140" i="1"/>
  <c r="J140" i="1"/>
  <c r="I140" i="1" s="1"/>
  <c r="K140" i="1" s="1"/>
  <c r="M140" i="1"/>
  <c r="F141" i="1"/>
  <c r="G141" i="1"/>
  <c r="H141" i="1"/>
  <c r="J141" i="1"/>
  <c r="I141" i="1" s="1"/>
  <c r="K141" i="1" s="1"/>
  <c r="M141" i="1" s="1"/>
  <c r="F142" i="1"/>
  <c r="G142" i="1"/>
  <c r="H142" i="1"/>
  <c r="J142" i="1"/>
  <c r="I142" i="1" s="1"/>
  <c r="K142" i="1" s="1"/>
  <c r="M142" i="1"/>
  <c r="F143" i="1"/>
  <c r="G143" i="1"/>
  <c r="H143" i="1"/>
  <c r="J143" i="1"/>
  <c r="I143" i="1" s="1"/>
  <c r="K143" i="1" s="1"/>
  <c r="M143" i="1"/>
  <c r="F144" i="1"/>
  <c r="G144" i="1"/>
  <c r="H144" i="1"/>
  <c r="I144" i="1"/>
  <c r="J144" i="1"/>
  <c r="K144" i="1"/>
  <c r="M144" i="1" s="1"/>
  <c r="F145" i="1"/>
  <c r="J145" i="1" s="1"/>
  <c r="I145" i="1" s="1"/>
  <c r="K145" i="1" s="1"/>
  <c r="G145" i="1"/>
  <c r="H145" i="1"/>
  <c r="M145" i="1"/>
  <c r="F146" i="1"/>
  <c r="G146" i="1"/>
  <c r="H146" i="1"/>
  <c r="J146" i="1"/>
  <c r="I146" i="1" s="1"/>
  <c r="K146" i="1" s="1"/>
  <c r="M146" i="1" s="1"/>
  <c r="F147" i="1"/>
  <c r="G147" i="1"/>
  <c r="H147" i="1"/>
  <c r="J147" i="1"/>
  <c r="I147" i="1" s="1"/>
  <c r="K147" i="1" s="1"/>
  <c r="M147" i="1"/>
  <c r="F148" i="1"/>
  <c r="G148" i="1"/>
  <c r="H148" i="1"/>
  <c r="I148" i="1"/>
  <c r="J148" i="1"/>
  <c r="K148" i="1"/>
  <c r="M148" i="1"/>
  <c r="F149" i="1"/>
  <c r="J149" i="1" s="1"/>
  <c r="I149" i="1" s="1"/>
  <c r="K149" i="1" s="1"/>
  <c r="M149" i="1" s="1"/>
  <c r="G149" i="1"/>
  <c r="H149" i="1"/>
  <c r="F150" i="1"/>
  <c r="G150" i="1"/>
  <c r="H150" i="1"/>
  <c r="I150" i="1"/>
  <c r="J150" i="1"/>
  <c r="K150" i="1"/>
  <c r="M150" i="1"/>
  <c r="F151" i="1"/>
  <c r="J151" i="1" s="1"/>
  <c r="I151" i="1" s="1"/>
  <c r="K151" i="1" s="1"/>
  <c r="G151" i="1"/>
  <c r="H151" i="1"/>
  <c r="M151" i="1"/>
  <c r="F152" i="1"/>
  <c r="G152" i="1"/>
  <c r="H152" i="1"/>
  <c r="J152" i="1"/>
  <c r="I152" i="1" s="1"/>
  <c r="K152" i="1" s="1"/>
  <c r="M152" i="1" s="1"/>
  <c r="F153" i="1"/>
  <c r="G153" i="1"/>
  <c r="H153" i="1"/>
  <c r="J153" i="1"/>
  <c r="I153" i="1" s="1"/>
  <c r="K153" i="1" s="1"/>
  <c r="M153" i="1"/>
  <c r="F154" i="1"/>
  <c r="G154" i="1"/>
  <c r="H154" i="1"/>
  <c r="I154" i="1"/>
  <c r="J154" i="1"/>
  <c r="K154" i="1"/>
  <c r="M154" i="1" s="1"/>
  <c r="F155" i="1"/>
  <c r="J155" i="1" s="1"/>
  <c r="I155" i="1" s="1"/>
  <c r="K155" i="1" s="1"/>
  <c r="G155" i="1"/>
  <c r="H155" i="1"/>
  <c r="M155" i="1"/>
  <c r="F156" i="1"/>
  <c r="G156" i="1"/>
  <c r="H156" i="1"/>
  <c r="J156" i="1"/>
  <c r="I156" i="1" s="1"/>
  <c r="K156" i="1" s="1"/>
  <c r="M156" i="1"/>
  <c r="F157" i="1"/>
  <c r="G157" i="1"/>
  <c r="H157" i="1"/>
  <c r="J157" i="1"/>
  <c r="I157" i="1" s="1"/>
  <c r="K157" i="1" s="1"/>
  <c r="M157" i="1" s="1"/>
  <c r="F158" i="1"/>
  <c r="G158" i="1"/>
  <c r="H158" i="1"/>
  <c r="J158" i="1"/>
  <c r="I158" i="1" s="1"/>
  <c r="K158" i="1" s="1"/>
  <c r="M158" i="1"/>
  <c r="F159" i="1"/>
  <c r="G159" i="1"/>
  <c r="H159" i="1"/>
  <c r="J159" i="1"/>
  <c r="I159" i="1" s="1"/>
  <c r="K159" i="1" s="1"/>
  <c r="M159" i="1"/>
  <c r="F160" i="1"/>
  <c r="G160" i="1"/>
  <c r="H160" i="1"/>
  <c r="I160" i="1"/>
  <c r="J160" i="1"/>
  <c r="K160" i="1"/>
  <c r="M160" i="1" s="1"/>
  <c r="F161" i="1"/>
  <c r="J161" i="1" s="1"/>
  <c r="I161" i="1" s="1"/>
  <c r="K161" i="1" s="1"/>
  <c r="G161" i="1"/>
  <c r="H161" i="1"/>
  <c r="M161" i="1"/>
  <c r="F162" i="1"/>
  <c r="G162" i="1"/>
  <c r="H162" i="1"/>
  <c r="J162" i="1"/>
  <c r="I162" i="1" s="1"/>
  <c r="K162" i="1" s="1"/>
  <c r="M162" i="1"/>
  <c r="F163" i="1"/>
  <c r="G163" i="1"/>
  <c r="H163" i="1"/>
  <c r="J163" i="1"/>
  <c r="I163" i="1" s="1"/>
  <c r="K163" i="1" s="1"/>
  <c r="M163" i="1" s="1"/>
  <c r="F164" i="1"/>
  <c r="G164" i="1"/>
  <c r="H164" i="1"/>
  <c r="J164" i="1"/>
  <c r="I164" i="1" s="1"/>
  <c r="K164" i="1" s="1"/>
  <c r="M164" i="1"/>
  <c r="F165" i="1"/>
  <c r="G165" i="1"/>
  <c r="H165" i="1"/>
  <c r="J165" i="1"/>
  <c r="I165" i="1" s="1"/>
  <c r="K165" i="1" s="1"/>
  <c r="M165" i="1" s="1"/>
  <c r="F166" i="1"/>
  <c r="G166" i="1"/>
  <c r="H166" i="1"/>
  <c r="J166" i="1"/>
  <c r="I166" i="1" s="1"/>
  <c r="K166" i="1" s="1"/>
  <c r="M166" i="1"/>
  <c r="F167" i="1"/>
  <c r="J167" i="1" s="1"/>
  <c r="G167" i="1"/>
  <c r="H167" i="1"/>
  <c r="M167" i="1"/>
  <c r="F168" i="1"/>
  <c r="G168" i="1"/>
  <c r="H168" i="1"/>
  <c r="J168" i="1"/>
  <c r="I168" i="1" s="1"/>
  <c r="K168" i="1" s="1"/>
  <c r="M168" i="1" s="1"/>
  <c r="F169" i="1"/>
  <c r="J169" i="1" s="1"/>
  <c r="G169" i="1"/>
  <c r="H169" i="1"/>
  <c r="F170" i="1"/>
  <c r="G170" i="1"/>
  <c r="H170" i="1"/>
  <c r="I170" i="1"/>
  <c r="J170" i="1"/>
  <c r="K170" i="1"/>
  <c r="M170" i="1"/>
  <c r="F171" i="1"/>
  <c r="J171" i="1" s="1"/>
  <c r="I171" i="1" s="1"/>
  <c r="K171" i="1" s="1"/>
  <c r="M171" i="1" s="1"/>
  <c r="G171" i="1"/>
  <c r="H171" i="1"/>
  <c r="F172" i="1"/>
  <c r="G172" i="1"/>
  <c r="H172" i="1"/>
  <c r="I172" i="1"/>
  <c r="J172" i="1"/>
  <c r="K172" i="1"/>
  <c r="M172" i="1"/>
  <c r="F173" i="1"/>
  <c r="J173" i="1" s="1"/>
  <c r="G173" i="1"/>
  <c r="H173" i="1"/>
  <c r="F174" i="1"/>
  <c r="G174" i="1"/>
  <c r="H174" i="1"/>
  <c r="J174" i="1"/>
  <c r="I174" i="1" s="1"/>
  <c r="K174" i="1" s="1"/>
  <c r="M174" i="1"/>
  <c r="F175" i="1"/>
  <c r="G175" i="1"/>
  <c r="H175" i="1"/>
  <c r="J175" i="1"/>
  <c r="I175" i="1" s="1"/>
  <c r="K175" i="1" s="1"/>
  <c r="M175" i="1"/>
  <c r="F176" i="1"/>
  <c r="G176" i="1"/>
  <c r="H176" i="1"/>
  <c r="I176" i="1"/>
  <c r="J176" i="1"/>
  <c r="K176" i="1"/>
  <c r="M176" i="1" s="1"/>
  <c r="F177" i="1"/>
  <c r="J177" i="1" s="1"/>
  <c r="I177" i="1" s="1"/>
  <c r="K177" i="1" s="1"/>
  <c r="G177" i="1"/>
  <c r="H177" i="1"/>
  <c r="M177" i="1"/>
  <c r="F178" i="1"/>
  <c r="G178" i="1"/>
  <c r="H178" i="1"/>
  <c r="J178" i="1"/>
  <c r="I178" i="1" s="1"/>
  <c r="K178" i="1" s="1"/>
  <c r="M178" i="1"/>
  <c r="F179" i="1"/>
  <c r="J179" i="1" s="1"/>
  <c r="G179" i="1"/>
  <c r="H179" i="1"/>
  <c r="F180" i="1"/>
  <c r="G180" i="1"/>
  <c r="H180" i="1"/>
  <c r="I180" i="1"/>
  <c r="J180" i="1"/>
  <c r="K180" i="1"/>
  <c r="M180" i="1"/>
  <c r="F181" i="1"/>
  <c r="J181" i="1" s="1"/>
  <c r="I181" i="1" s="1"/>
  <c r="K181" i="1" s="1"/>
  <c r="G181" i="1"/>
  <c r="H181" i="1"/>
  <c r="M181" i="1"/>
  <c r="F182" i="1"/>
  <c r="G182" i="1"/>
  <c r="H182" i="1"/>
  <c r="J182" i="1"/>
  <c r="I182" i="1" s="1"/>
  <c r="K182" i="1" s="1"/>
  <c r="M182" i="1" s="1"/>
  <c r="F183" i="1"/>
  <c r="G183" i="1"/>
  <c r="H183" i="1"/>
  <c r="J183" i="1"/>
  <c r="I183" i="1" s="1"/>
  <c r="K183" i="1" s="1"/>
  <c r="M183" i="1"/>
  <c r="F184" i="1"/>
  <c r="G184" i="1"/>
  <c r="H184" i="1"/>
  <c r="I184" i="1"/>
  <c r="K184" i="1" s="1"/>
  <c r="M184" i="1" s="1"/>
  <c r="J184" i="1"/>
  <c r="F185" i="1"/>
  <c r="G185" i="1"/>
  <c r="H185" i="1"/>
  <c r="J185" i="1"/>
  <c r="I185" i="1" s="1"/>
  <c r="K185" i="1" s="1"/>
  <c r="M185" i="1"/>
  <c r="F186" i="1"/>
  <c r="G186" i="1"/>
  <c r="H186" i="1"/>
  <c r="J186" i="1"/>
  <c r="M186" i="1"/>
  <c r="F187" i="1"/>
  <c r="J187" i="1" s="1"/>
  <c r="G187" i="1"/>
  <c r="H187" i="1"/>
  <c r="F188" i="1"/>
  <c r="G188" i="1"/>
  <c r="H188" i="1"/>
  <c r="J188" i="1"/>
  <c r="I188" i="1" s="1"/>
  <c r="K188" i="1" s="1"/>
  <c r="M188" i="1"/>
  <c r="F189" i="1"/>
  <c r="G189" i="1"/>
  <c r="H189" i="1"/>
  <c r="J189" i="1"/>
  <c r="I189" i="1" s="1"/>
  <c r="K189" i="1" s="1"/>
  <c r="M189" i="1"/>
  <c r="F190" i="1"/>
  <c r="G190" i="1"/>
  <c r="H190" i="1"/>
  <c r="I190" i="1"/>
  <c r="K190" i="1" s="1"/>
  <c r="M190" i="1" s="1"/>
  <c r="J190" i="1"/>
  <c r="F191" i="1"/>
  <c r="G191" i="1"/>
  <c r="H191" i="1"/>
  <c r="J191" i="1"/>
  <c r="I191" i="1" s="1"/>
  <c r="K191" i="1" s="1"/>
  <c r="M191" i="1"/>
  <c r="F192" i="1"/>
  <c r="G192" i="1"/>
  <c r="H192" i="1"/>
  <c r="I192" i="1"/>
  <c r="K192" i="1" s="1"/>
  <c r="M192" i="1" s="1"/>
  <c r="J192" i="1"/>
  <c r="F193" i="1"/>
  <c r="G193" i="1"/>
  <c r="H193" i="1"/>
  <c r="J193" i="1"/>
  <c r="I193" i="1" s="1"/>
  <c r="K193" i="1" s="1"/>
  <c r="M193" i="1"/>
  <c r="F194" i="1"/>
  <c r="G194" i="1"/>
  <c r="H194" i="1"/>
  <c r="I194" i="1"/>
  <c r="K194" i="1" s="1"/>
  <c r="J194" i="1"/>
  <c r="M194" i="1"/>
  <c r="F195" i="1"/>
  <c r="J195" i="1" s="1"/>
  <c r="G195" i="1"/>
  <c r="H195" i="1"/>
  <c r="F196" i="1"/>
  <c r="G196" i="1"/>
  <c r="H196" i="1"/>
  <c r="I196" i="1"/>
  <c r="J196" i="1"/>
  <c r="K196" i="1"/>
  <c r="M196" i="1"/>
  <c r="F197" i="1"/>
  <c r="J197" i="1" s="1"/>
  <c r="I197" i="1" s="1"/>
  <c r="K197" i="1" s="1"/>
  <c r="G197" i="1"/>
  <c r="H197" i="1"/>
  <c r="M197" i="1"/>
  <c r="F198" i="1"/>
  <c r="G198" i="1"/>
  <c r="H198" i="1"/>
  <c r="J198" i="1"/>
  <c r="I198" i="1" s="1"/>
  <c r="K198" i="1" s="1"/>
  <c r="M198" i="1" s="1"/>
  <c r="F199" i="1"/>
  <c r="G199" i="1"/>
  <c r="H199" i="1"/>
  <c r="J199" i="1"/>
  <c r="I199" i="1" s="1"/>
  <c r="K199" i="1" s="1"/>
  <c r="M199" i="1"/>
  <c r="F200" i="1"/>
  <c r="G200" i="1"/>
  <c r="H200" i="1"/>
  <c r="J200" i="1"/>
  <c r="M200" i="1"/>
  <c r="F201" i="1"/>
  <c r="J201" i="1" s="1"/>
  <c r="G201" i="1"/>
  <c r="H201" i="1"/>
  <c r="F202" i="1"/>
  <c r="J202" i="1" s="1"/>
  <c r="I202" i="1" s="1"/>
  <c r="K202" i="1" s="1"/>
  <c r="G202" i="1"/>
  <c r="H202" i="1"/>
  <c r="M202" i="1"/>
  <c r="E2" i="1"/>
  <c r="F2" i="1"/>
  <c r="G2" i="1"/>
  <c r="H2" i="1"/>
  <c r="J2" i="1"/>
  <c r="I2" i="1" s="1"/>
  <c r="K2" i="1" s="1"/>
  <c r="M2" i="1" s="1"/>
  <c r="N2" i="1" s="1"/>
  <c r="E3" i="1"/>
  <c r="F3" i="1"/>
  <c r="G3" i="1"/>
  <c r="H3" i="1"/>
  <c r="J3" i="1"/>
  <c r="I3" i="1" s="1"/>
  <c r="K3" i="1" s="1"/>
  <c r="M3" i="1"/>
  <c r="E4" i="1"/>
  <c r="F4" i="1"/>
  <c r="G4" i="1"/>
  <c r="H4" i="1"/>
  <c r="I4" i="1"/>
  <c r="J4" i="1"/>
  <c r="K4" i="1"/>
  <c r="M4" i="1"/>
  <c r="N4" i="1"/>
  <c r="E5" i="1"/>
  <c r="F5" i="1"/>
  <c r="J5" i="1" s="1"/>
  <c r="G5" i="1"/>
  <c r="H5" i="1"/>
  <c r="E6" i="1"/>
  <c r="F6" i="1"/>
  <c r="G6" i="1"/>
  <c r="H6" i="1"/>
  <c r="J6" i="1"/>
  <c r="I6" i="1" s="1"/>
  <c r="K6" i="1" s="1"/>
  <c r="M6" i="1"/>
  <c r="N6" i="1" s="1"/>
  <c r="E7" i="1"/>
  <c r="F7" i="1"/>
  <c r="G7" i="1"/>
  <c r="H7" i="1"/>
  <c r="J7" i="1"/>
  <c r="I7" i="1" s="1"/>
  <c r="K7" i="1" s="1"/>
  <c r="M7" i="1"/>
  <c r="E8" i="1"/>
  <c r="F8" i="1"/>
  <c r="G8" i="1"/>
  <c r="H8" i="1"/>
  <c r="I8" i="1"/>
  <c r="J8" i="1"/>
  <c r="K8" i="1"/>
  <c r="M8" i="1" s="1"/>
  <c r="N8" i="1" s="1"/>
  <c r="E9" i="1"/>
  <c r="F9" i="1"/>
  <c r="J9" i="1" s="1"/>
  <c r="I9" i="1" s="1"/>
  <c r="K9" i="1" s="1"/>
  <c r="G9" i="1"/>
  <c r="H9" i="1"/>
  <c r="M9" i="1"/>
  <c r="N9" i="1" s="1"/>
  <c r="E10" i="1"/>
  <c r="F10" i="1"/>
  <c r="G10" i="1"/>
  <c r="H10" i="1"/>
  <c r="J10" i="1"/>
  <c r="I10" i="1" s="1"/>
  <c r="K10" i="1" s="1"/>
  <c r="M10" i="1"/>
  <c r="N10" i="1" s="1"/>
  <c r="E11" i="1"/>
  <c r="F11" i="1"/>
  <c r="J11" i="1" s="1"/>
  <c r="G11" i="1"/>
  <c r="H11" i="1"/>
  <c r="E12" i="1"/>
  <c r="F12" i="1"/>
  <c r="G12" i="1"/>
  <c r="H12" i="1"/>
  <c r="I12" i="1"/>
  <c r="J12" i="1"/>
  <c r="K12" i="1"/>
  <c r="M12" i="1"/>
  <c r="N12" i="1"/>
  <c r="E13" i="1"/>
  <c r="F13" i="1"/>
  <c r="J13" i="1" s="1"/>
  <c r="I13" i="1" s="1"/>
  <c r="K13" i="1" s="1"/>
  <c r="M13" i="1" s="1"/>
  <c r="N13" i="1" s="1"/>
  <c r="G13" i="1"/>
  <c r="H13" i="1"/>
  <c r="E14" i="1"/>
  <c r="F14" i="1"/>
  <c r="G14" i="1"/>
  <c r="H14" i="1"/>
  <c r="I14" i="1"/>
  <c r="J14" i="1"/>
  <c r="K14" i="1"/>
  <c r="M14" i="1"/>
  <c r="N14" i="1"/>
  <c r="E15" i="1"/>
  <c r="F15" i="1"/>
  <c r="J15" i="1" s="1"/>
  <c r="G15" i="1"/>
  <c r="H15" i="1"/>
  <c r="E16" i="1"/>
  <c r="F16" i="1"/>
  <c r="G16" i="1"/>
  <c r="H16" i="1"/>
  <c r="I16" i="1"/>
  <c r="J16" i="1"/>
  <c r="K16" i="1"/>
  <c r="M16" i="1" s="1"/>
  <c r="N16" i="1" s="1"/>
  <c r="E17" i="1"/>
  <c r="F17" i="1"/>
  <c r="J17" i="1" s="1"/>
  <c r="G17" i="1"/>
  <c r="H17" i="1"/>
  <c r="M17" i="1"/>
  <c r="N17" i="1" s="1"/>
  <c r="E18" i="1"/>
  <c r="F18" i="1"/>
  <c r="G18" i="1"/>
  <c r="H18" i="1"/>
  <c r="J18" i="1"/>
  <c r="I18" i="1" s="1"/>
  <c r="K18" i="1" s="1"/>
  <c r="M18" i="1"/>
  <c r="N18" i="1" s="1"/>
  <c r="E19" i="1"/>
  <c r="F19" i="1"/>
  <c r="G19" i="1"/>
  <c r="H19" i="1"/>
  <c r="J19" i="1"/>
  <c r="I19" i="1" s="1"/>
  <c r="K19" i="1" s="1"/>
  <c r="M19" i="1" s="1"/>
  <c r="N19" i="1" s="1"/>
  <c r="E20" i="1"/>
  <c r="F20" i="1"/>
  <c r="J20" i="1" s="1"/>
  <c r="I20" i="1" s="1"/>
  <c r="K20" i="1" s="1"/>
  <c r="G20" i="1"/>
  <c r="H20" i="1"/>
  <c r="M20" i="1"/>
  <c r="N20" i="1" s="1"/>
  <c r="E21" i="1"/>
  <c r="F21" i="1"/>
  <c r="J21" i="1" s="1"/>
  <c r="G21" i="1"/>
  <c r="H21" i="1"/>
  <c r="E22" i="1"/>
  <c r="F22" i="1"/>
  <c r="G22" i="1"/>
  <c r="H22" i="1"/>
  <c r="I22" i="1"/>
  <c r="J22" i="1"/>
  <c r="K22" i="1"/>
  <c r="M22" i="1"/>
  <c r="N22" i="1"/>
  <c r="E23" i="1"/>
  <c r="F23" i="1"/>
  <c r="J23" i="1" s="1"/>
  <c r="G23" i="1"/>
  <c r="H23" i="1"/>
  <c r="M23" i="1"/>
  <c r="N23" i="1" s="1"/>
  <c r="E24" i="1"/>
  <c r="F24" i="1"/>
  <c r="J24" i="1" s="1"/>
  <c r="I24" i="1" s="1"/>
  <c r="K24" i="1" s="1"/>
  <c r="M24" i="1" s="1"/>
  <c r="N24" i="1" s="1"/>
  <c r="G24" i="1"/>
  <c r="H24" i="1"/>
  <c r="E25" i="1"/>
  <c r="F25" i="1"/>
  <c r="G25" i="1"/>
  <c r="H25" i="1"/>
  <c r="J25" i="1"/>
  <c r="I25" i="1" s="1"/>
  <c r="K25" i="1" s="1"/>
  <c r="M25" i="1"/>
  <c r="E26" i="1"/>
  <c r="F26" i="1"/>
  <c r="G26" i="1"/>
  <c r="H26" i="1"/>
  <c r="I26" i="1"/>
  <c r="J26" i="1"/>
  <c r="K26" i="1"/>
  <c r="M26" i="1"/>
  <c r="N26" i="1"/>
  <c r="E27" i="1"/>
  <c r="F27" i="1"/>
  <c r="J27" i="1" s="1"/>
  <c r="G27" i="1"/>
  <c r="H27" i="1"/>
  <c r="E28" i="1"/>
  <c r="F28" i="1"/>
  <c r="J28" i="1" s="1"/>
  <c r="I28" i="1" s="1"/>
  <c r="K28" i="1" s="1"/>
  <c r="G28" i="1"/>
  <c r="H28" i="1"/>
  <c r="M28" i="1"/>
  <c r="N28" i="1" s="1"/>
  <c r="E29" i="1"/>
  <c r="F29" i="1"/>
  <c r="G29" i="1"/>
  <c r="H29" i="1"/>
  <c r="J29" i="1"/>
  <c r="I29" i="1" s="1"/>
  <c r="K29" i="1" s="1"/>
  <c r="M29" i="1"/>
  <c r="E30" i="1"/>
  <c r="F30" i="1"/>
  <c r="G30" i="1"/>
  <c r="H30" i="1"/>
  <c r="I30" i="1"/>
  <c r="J30" i="1"/>
  <c r="K30" i="1"/>
  <c r="M30" i="1" s="1"/>
  <c r="N30" i="1" s="1"/>
  <c r="E31" i="1"/>
  <c r="F31" i="1"/>
  <c r="J31" i="1" s="1"/>
  <c r="G31" i="1"/>
  <c r="H31" i="1"/>
  <c r="M31" i="1"/>
  <c r="N31" i="1" s="1"/>
  <c r="E32" i="1"/>
  <c r="F32" i="1"/>
  <c r="J32" i="1" s="1"/>
  <c r="I32" i="1" s="1"/>
  <c r="K32" i="1" s="1"/>
  <c r="M32" i="1" s="1"/>
  <c r="N32" i="1" s="1"/>
  <c r="G32" i="1"/>
  <c r="H32" i="1"/>
  <c r="E33" i="1"/>
  <c r="F33" i="1"/>
  <c r="G33" i="1"/>
  <c r="H33" i="1"/>
  <c r="J33" i="1"/>
  <c r="I33" i="1" s="1"/>
  <c r="K33" i="1" s="1"/>
  <c r="M33" i="1"/>
  <c r="E34" i="1"/>
  <c r="F34" i="1"/>
  <c r="G34" i="1"/>
  <c r="H34" i="1"/>
  <c r="I34" i="1"/>
  <c r="J34" i="1"/>
  <c r="K34" i="1"/>
  <c r="M34" i="1"/>
  <c r="N34" i="1"/>
  <c r="E35" i="1"/>
  <c r="F35" i="1"/>
  <c r="J35" i="1" s="1"/>
  <c r="G35" i="1"/>
  <c r="H35" i="1"/>
  <c r="E36" i="1"/>
  <c r="F36" i="1"/>
  <c r="J36" i="1" s="1"/>
  <c r="I36" i="1" s="1"/>
  <c r="K36" i="1" s="1"/>
  <c r="G36" i="1"/>
  <c r="H36" i="1"/>
  <c r="M36" i="1"/>
  <c r="N36" i="1" s="1"/>
  <c r="E37" i="1"/>
  <c r="F37" i="1"/>
  <c r="G37" i="1"/>
  <c r="H37" i="1"/>
  <c r="J37" i="1"/>
  <c r="I37" i="1" s="1"/>
  <c r="K37" i="1" s="1"/>
  <c r="M37" i="1"/>
  <c r="E38" i="1"/>
  <c r="F38" i="1"/>
  <c r="G38" i="1"/>
  <c r="H38" i="1"/>
  <c r="I38" i="1"/>
  <c r="J38" i="1"/>
  <c r="K38" i="1"/>
  <c r="M38" i="1" s="1"/>
  <c r="N38" i="1" s="1"/>
  <c r="E39" i="1"/>
  <c r="F39" i="1"/>
  <c r="J39" i="1" s="1"/>
  <c r="G39" i="1"/>
  <c r="H39" i="1"/>
  <c r="M39" i="1"/>
  <c r="N39" i="1" s="1"/>
  <c r="E40" i="1"/>
  <c r="F40" i="1"/>
  <c r="J40" i="1" s="1"/>
  <c r="G40" i="1"/>
  <c r="H40" i="1"/>
  <c r="E41" i="1"/>
  <c r="F41" i="1"/>
  <c r="G41" i="1"/>
  <c r="H41" i="1"/>
  <c r="J41" i="1"/>
  <c r="I41" i="1" s="1"/>
  <c r="K41" i="1" s="1"/>
  <c r="M41" i="1"/>
  <c r="E42" i="1"/>
  <c r="F42" i="1"/>
  <c r="G42" i="1"/>
  <c r="H42" i="1"/>
  <c r="I42" i="1"/>
  <c r="J42" i="1"/>
  <c r="K42" i="1"/>
  <c r="M42" i="1"/>
  <c r="N42" i="1"/>
  <c r="E43" i="1"/>
  <c r="F43" i="1"/>
  <c r="J43" i="1" s="1"/>
  <c r="G43" i="1"/>
  <c r="H43" i="1"/>
  <c r="E44" i="1"/>
  <c r="F44" i="1"/>
  <c r="G44" i="1"/>
  <c r="H44" i="1"/>
  <c r="J44" i="1"/>
  <c r="I44" i="1" s="1"/>
  <c r="K44" i="1" s="1"/>
  <c r="M44" i="1"/>
  <c r="N44" i="1" s="1"/>
  <c r="E45" i="1"/>
  <c r="F45" i="1"/>
  <c r="G45" i="1"/>
  <c r="H45" i="1"/>
  <c r="J45" i="1"/>
  <c r="I45" i="1" s="1"/>
  <c r="K45" i="1" s="1"/>
  <c r="M45" i="1"/>
  <c r="E46" i="1"/>
  <c r="F46" i="1"/>
  <c r="G46" i="1"/>
  <c r="H46" i="1"/>
  <c r="I46" i="1"/>
  <c r="K46" i="1" s="1"/>
  <c r="M46" i="1" s="1"/>
  <c r="N46" i="1" s="1"/>
  <c r="J46" i="1"/>
  <c r="E47" i="1"/>
  <c r="F47" i="1"/>
  <c r="G47" i="1"/>
  <c r="H47" i="1"/>
  <c r="J47" i="1"/>
  <c r="I47" i="1" s="1"/>
  <c r="K47" i="1" s="1"/>
  <c r="M47" i="1"/>
  <c r="E48" i="1"/>
  <c r="F48" i="1"/>
  <c r="G48" i="1"/>
  <c r="H48" i="1"/>
  <c r="I48" i="1"/>
  <c r="K48" i="1" s="1"/>
  <c r="J48" i="1"/>
  <c r="M48" i="1"/>
  <c r="N48" i="1" s="1"/>
  <c r="E49" i="1"/>
  <c r="F49" i="1"/>
  <c r="J49" i="1" s="1"/>
  <c r="G49" i="1"/>
  <c r="H49" i="1"/>
  <c r="E50" i="1"/>
  <c r="F50" i="1"/>
  <c r="G50" i="1"/>
  <c r="H50" i="1"/>
  <c r="I50" i="1"/>
  <c r="J50" i="1"/>
  <c r="K50" i="1"/>
  <c r="M50" i="1"/>
  <c r="N50" i="1"/>
  <c r="E51" i="1"/>
  <c r="F51" i="1"/>
  <c r="J51" i="1" s="1"/>
  <c r="G51" i="1"/>
  <c r="H51" i="1"/>
  <c r="E52" i="1"/>
  <c r="F52" i="1"/>
  <c r="G52" i="1"/>
  <c r="H52" i="1"/>
  <c r="I52" i="1"/>
  <c r="K52" i="1" s="1"/>
  <c r="J52" i="1"/>
  <c r="M52" i="1"/>
  <c r="N52" i="1" s="1"/>
  <c r="E53" i="1"/>
  <c r="F53" i="1"/>
  <c r="J53" i="1" s="1"/>
  <c r="G53" i="1"/>
  <c r="H53" i="1"/>
  <c r="E54" i="1"/>
  <c r="F54" i="1"/>
  <c r="G54" i="1"/>
  <c r="H54" i="1"/>
  <c r="J54" i="1"/>
  <c r="I54" i="1" s="1"/>
  <c r="K54" i="1" s="1"/>
  <c r="M54" i="1" s="1"/>
  <c r="N54" i="1" s="1"/>
  <c r="E55" i="1"/>
  <c r="F55" i="1"/>
  <c r="J55" i="1" s="1"/>
  <c r="G55" i="1"/>
  <c r="H55" i="1"/>
  <c r="M55" i="1"/>
  <c r="N55" i="1" s="1"/>
  <c r="E56" i="1"/>
  <c r="F56" i="1"/>
  <c r="J56" i="1" s="1"/>
  <c r="G56" i="1"/>
  <c r="H56" i="1"/>
  <c r="E57" i="1"/>
  <c r="F57" i="1"/>
  <c r="G57" i="1"/>
  <c r="H57" i="1"/>
  <c r="J57" i="1"/>
  <c r="E58" i="1"/>
  <c r="F58" i="1"/>
  <c r="J58" i="1" s="1"/>
  <c r="G58" i="1"/>
  <c r="H58" i="1"/>
  <c r="M58" i="1"/>
  <c r="N58" i="1" s="1"/>
  <c r="E60" i="1"/>
  <c r="F60" i="1"/>
  <c r="J60" i="1" s="1"/>
  <c r="G60" i="1"/>
  <c r="H60" i="1"/>
  <c r="E61" i="1"/>
  <c r="F61" i="1"/>
  <c r="G61" i="1"/>
  <c r="H61" i="1"/>
  <c r="J61" i="1"/>
  <c r="I61" i="1" s="1"/>
  <c r="K61" i="1" s="1"/>
  <c r="M61" i="1"/>
  <c r="N61" i="1" s="1"/>
  <c r="E62" i="1"/>
  <c r="F62" i="1"/>
  <c r="G62" i="1"/>
  <c r="H62" i="1"/>
  <c r="J62" i="1"/>
  <c r="I62" i="1" s="1"/>
  <c r="K62" i="1" s="1"/>
  <c r="M62" i="1" s="1"/>
  <c r="N62" i="1" s="1"/>
  <c r="H59" i="1"/>
  <c r="G59" i="1"/>
  <c r="F59" i="1"/>
  <c r="J59" i="1" s="1"/>
  <c r="E59" i="1"/>
  <c r="D122" i="1"/>
  <c r="C123" i="1"/>
  <c r="C125" i="1"/>
  <c r="E125" i="1" s="1"/>
  <c r="C126" i="1"/>
  <c r="E126" i="1" s="1"/>
  <c r="N126" i="1" s="1"/>
  <c r="C127" i="1"/>
  <c r="E127" i="1" s="1"/>
  <c r="C128" i="1"/>
  <c r="E128" i="1" s="1"/>
  <c r="N128" i="1" s="1"/>
  <c r="C129" i="1"/>
  <c r="E129" i="1" s="1"/>
  <c r="C130" i="1"/>
  <c r="E130" i="1" s="1"/>
  <c r="C131" i="1"/>
  <c r="E131" i="1" s="1"/>
  <c r="C132" i="1"/>
  <c r="E132" i="1" s="1"/>
  <c r="N132" i="1" s="1"/>
  <c r="C133" i="1"/>
  <c r="E133" i="1" s="1"/>
  <c r="C134" i="1"/>
  <c r="E134" i="1" s="1"/>
  <c r="N134" i="1" s="1"/>
  <c r="C135" i="1"/>
  <c r="E135" i="1" s="1"/>
  <c r="C136" i="1"/>
  <c r="E136" i="1" s="1"/>
  <c r="N136" i="1" s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E142" i="1" s="1"/>
  <c r="C143" i="1"/>
  <c r="E143" i="1" s="1"/>
  <c r="C144" i="1"/>
  <c r="E144" i="1" s="1"/>
  <c r="C145" i="1"/>
  <c r="E145" i="1" s="1"/>
  <c r="C146" i="1"/>
  <c r="E146" i="1" s="1"/>
  <c r="C147" i="1"/>
  <c r="E147" i="1" s="1"/>
  <c r="C148" i="1"/>
  <c r="E148" i="1" s="1"/>
  <c r="N148" i="1" s="1"/>
  <c r="C149" i="1"/>
  <c r="E149" i="1" s="1"/>
  <c r="C150" i="1"/>
  <c r="E150" i="1" s="1"/>
  <c r="N150" i="1" s="1"/>
  <c r="C151" i="1"/>
  <c r="E151" i="1" s="1"/>
  <c r="C152" i="1"/>
  <c r="E152" i="1" s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165" i="1"/>
  <c r="E165" i="1" s="1"/>
  <c r="C166" i="1"/>
  <c r="E166" i="1" s="1"/>
  <c r="C167" i="1"/>
  <c r="E167" i="1" s="1"/>
  <c r="C168" i="1"/>
  <c r="E168" i="1" s="1"/>
  <c r="C169" i="1"/>
  <c r="E169" i="1" s="1"/>
  <c r="C170" i="1"/>
  <c r="E170" i="1" s="1"/>
  <c r="N170" i="1" s="1"/>
  <c r="C171" i="1"/>
  <c r="E171" i="1" s="1"/>
  <c r="C172" i="1"/>
  <c r="E172" i="1" s="1"/>
  <c r="N172" i="1" s="1"/>
  <c r="C173" i="1"/>
  <c r="E173" i="1" s="1"/>
  <c r="C174" i="1"/>
  <c r="E174" i="1" s="1"/>
  <c r="C175" i="1"/>
  <c r="E175" i="1" s="1"/>
  <c r="C176" i="1"/>
  <c r="E176" i="1" s="1"/>
  <c r="C177" i="1"/>
  <c r="E177" i="1" s="1"/>
  <c r="C178" i="1"/>
  <c r="E178" i="1" s="1"/>
  <c r="C179" i="1"/>
  <c r="E179" i="1" s="1"/>
  <c r="C180" i="1"/>
  <c r="E180" i="1" s="1"/>
  <c r="N180" i="1" s="1"/>
  <c r="C181" i="1"/>
  <c r="E181" i="1" s="1"/>
  <c r="C182" i="1"/>
  <c r="E182" i="1" s="1"/>
  <c r="C183" i="1"/>
  <c r="E183" i="1" s="1"/>
  <c r="C184" i="1"/>
  <c r="E184" i="1" s="1"/>
  <c r="C185" i="1"/>
  <c r="E185" i="1" s="1"/>
  <c r="C186" i="1"/>
  <c r="E186" i="1" s="1"/>
  <c r="N186" i="1" s="1"/>
  <c r="C187" i="1"/>
  <c r="E187" i="1" s="1"/>
  <c r="C188" i="1"/>
  <c r="E188" i="1" s="1"/>
  <c r="C189" i="1"/>
  <c r="E189" i="1" s="1"/>
  <c r="C190" i="1"/>
  <c r="E190" i="1" s="1"/>
  <c r="C191" i="1"/>
  <c r="E191" i="1" s="1"/>
  <c r="C192" i="1"/>
  <c r="E192" i="1" s="1"/>
  <c r="C193" i="1"/>
  <c r="C194" i="1"/>
  <c r="E194" i="1" s="1"/>
  <c r="C195" i="1"/>
  <c r="E195" i="1" s="1"/>
  <c r="C196" i="1"/>
  <c r="E196" i="1" s="1"/>
  <c r="N196" i="1" s="1"/>
  <c r="C197" i="1"/>
  <c r="E197" i="1" s="1"/>
  <c r="C198" i="1"/>
  <c r="E198" i="1" s="1"/>
  <c r="C199" i="1"/>
  <c r="E199" i="1" s="1"/>
  <c r="C200" i="1"/>
  <c r="E200" i="1" s="1"/>
  <c r="N200" i="1" s="1"/>
  <c r="C201" i="1"/>
  <c r="E201" i="1" s="1"/>
  <c r="C202" i="1"/>
  <c r="E202" i="1" s="1"/>
  <c r="C124" i="1"/>
  <c r="A5" i="2"/>
  <c r="A4" i="2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5" i="1"/>
  <c r="D197" i="1"/>
  <c r="D199" i="1"/>
  <c r="D201" i="1"/>
  <c r="D23" i="1"/>
  <c r="O2" i="1"/>
  <c r="O3" i="1"/>
  <c r="O5" i="1"/>
  <c r="O7" i="1"/>
  <c r="O9" i="1"/>
  <c r="O11" i="1"/>
  <c r="O13" i="1"/>
  <c r="O15" i="1"/>
  <c r="O17" i="1"/>
  <c r="O19" i="1"/>
  <c r="O21" i="1"/>
  <c r="O23" i="1"/>
  <c r="O25" i="1"/>
  <c r="O27" i="1"/>
  <c r="O29" i="1"/>
  <c r="O31" i="1"/>
  <c r="O33" i="1"/>
  <c r="O35" i="1"/>
  <c r="O37" i="1"/>
  <c r="O39" i="1"/>
  <c r="O41" i="1"/>
  <c r="O43" i="1"/>
  <c r="O45" i="1"/>
  <c r="O47" i="1"/>
  <c r="O49" i="1"/>
  <c r="O51" i="1"/>
  <c r="O53" i="1"/>
  <c r="O55" i="1"/>
  <c r="O57" i="1"/>
  <c r="O59" i="1"/>
  <c r="O61" i="1"/>
  <c r="O63" i="1"/>
  <c r="O65" i="1"/>
  <c r="O67" i="1"/>
  <c r="O69" i="1"/>
  <c r="O71" i="1"/>
  <c r="O73" i="1"/>
  <c r="O75" i="1"/>
  <c r="O77" i="1"/>
  <c r="O79" i="1"/>
  <c r="O81" i="1"/>
  <c r="O83" i="1"/>
  <c r="O85" i="1"/>
  <c r="O87" i="1"/>
  <c r="O89" i="1"/>
  <c r="O91" i="1"/>
  <c r="O93" i="1"/>
  <c r="O95" i="1"/>
  <c r="O97" i="1"/>
  <c r="O99" i="1"/>
  <c r="O101" i="1"/>
  <c r="O103" i="1"/>
  <c r="O105" i="1"/>
  <c r="O107" i="1"/>
  <c r="O109" i="1"/>
  <c r="O111" i="1"/>
  <c r="O113" i="1"/>
  <c r="O115" i="1"/>
  <c r="O117" i="1"/>
  <c r="O119" i="1"/>
  <c r="O121" i="1"/>
  <c r="O123" i="1"/>
  <c r="O125" i="1"/>
  <c r="O127" i="1"/>
  <c r="O129" i="1"/>
  <c r="O131" i="1"/>
  <c r="O133" i="1"/>
  <c r="O135" i="1"/>
  <c r="O137" i="1"/>
  <c r="O139" i="1"/>
  <c r="O141" i="1"/>
  <c r="O143" i="1"/>
  <c r="O145" i="1"/>
  <c r="O147" i="1"/>
  <c r="O149" i="1"/>
  <c r="O151" i="1"/>
  <c r="O153" i="1"/>
  <c r="O155" i="1"/>
  <c r="O157" i="1"/>
  <c r="O159" i="1"/>
  <c r="O161" i="1"/>
  <c r="O163" i="1"/>
  <c r="O165" i="1"/>
  <c r="O167" i="1"/>
  <c r="O169" i="1"/>
  <c r="O171" i="1"/>
  <c r="O173" i="1"/>
  <c r="O175" i="1"/>
  <c r="O177" i="1"/>
  <c r="O179" i="1"/>
  <c r="O181" i="1"/>
  <c r="O183" i="1"/>
  <c r="O185" i="1"/>
  <c r="O187" i="1"/>
  <c r="O189" i="1"/>
  <c r="O191" i="1"/>
  <c r="O193" i="1"/>
  <c r="O195" i="1"/>
  <c r="O197" i="1"/>
  <c r="O199" i="1"/>
  <c r="O201" i="1"/>
  <c r="O4" i="1"/>
  <c r="O6" i="1"/>
  <c r="O8" i="1"/>
  <c r="O10" i="1"/>
  <c r="O12" i="1"/>
  <c r="O14" i="1"/>
  <c r="O16" i="1"/>
  <c r="O18" i="1"/>
  <c r="O20" i="1"/>
  <c r="O22" i="1"/>
  <c r="O24" i="1"/>
  <c r="O26" i="1"/>
  <c r="O28" i="1"/>
  <c r="O30" i="1"/>
  <c r="O32" i="1"/>
  <c r="O34" i="1"/>
  <c r="O36" i="1"/>
  <c r="O38" i="1"/>
  <c r="O40" i="1"/>
  <c r="O42" i="1"/>
  <c r="O44" i="1"/>
  <c r="O46" i="1"/>
  <c r="O48" i="1"/>
  <c r="O50" i="1"/>
  <c r="O52" i="1"/>
  <c r="O54" i="1"/>
  <c r="O56" i="1"/>
  <c r="O58" i="1"/>
  <c r="O60" i="1"/>
  <c r="O62" i="1"/>
  <c r="O64" i="1"/>
  <c r="O66" i="1"/>
  <c r="O68" i="1"/>
  <c r="O70" i="1"/>
  <c r="O72" i="1"/>
  <c r="O74" i="1"/>
  <c r="O76" i="1"/>
  <c r="O78" i="1"/>
  <c r="O80" i="1"/>
  <c r="O82" i="1"/>
  <c r="O84" i="1"/>
  <c r="O86" i="1"/>
  <c r="O88" i="1"/>
  <c r="O90" i="1"/>
  <c r="O92" i="1"/>
  <c r="O94" i="1"/>
  <c r="O96" i="1"/>
  <c r="O98" i="1"/>
  <c r="O100" i="1"/>
  <c r="O102" i="1"/>
  <c r="O104" i="1"/>
  <c r="O106" i="1"/>
  <c r="O108" i="1"/>
  <c r="O110" i="1"/>
  <c r="O112" i="1"/>
  <c r="O114" i="1"/>
  <c r="O116" i="1"/>
  <c r="O118" i="1"/>
  <c r="O120" i="1"/>
  <c r="O122" i="1"/>
  <c r="O124" i="1"/>
  <c r="O126" i="1"/>
  <c r="O128" i="1"/>
  <c r="O130" i="1"/>
  <c r="O132" i="1"/>
  <c r="O134" i="1"/>
  <c r="O136" i="1"/>
  <c r="O138" i="1"/>
  <c r="O140" i="1"/>
  <c r="O142" i="1"/>
  <c r="O144" i="1"/>
  <c r="O146" i="1"/>
  <c r="O148" i="1"/>
  <c r="O150" i="1"/>
  <c r="O152" i="1"/>
  <c r="O154" i="1"/>
  <c r="O156" i="1"/>
  <c r="O158" i="1"/>
  <c r="O160" i="1"/>
  <c r="O162" i="1"/>
  <c r="O164" i="1"/>
  <c r="O166" i="1"/>
  <c r="O168" i="1"/>
  <c r="O170" i="1"/>
  <c r="O172" i="1"/>
  <c r="O174" i="1"/>
  <c r="O176" i="1"/>
  <c r="O178" i="1"/>
  <c r="O180" i="1"/>
  <c r="O182" i="1"/>
  <c r="O184" i="1"/>
  <c r="O186" i="1"/>
  <c r="O188" i="1"/>
  <c r="O190" i="1"/>
  <c r="O192" i="1"/>
  <c r="O194" i="1"/>
  <c r="O196" i="1"/>
  <c r="O198" i="1"/>
  <c r="O200" i="1"/>
  <c r="O202" i="1"/>
  <c r="D202" i="1" l="1"/>
  <c r="D200" i="1"/>
  <c r="D198" i="1"/>
  <c r="D196" i="1"/>
  <c r="D194" i="1"/>
  <c r="D124" i="1"/>
  <c r="E124" i="1"/>
  <c r="N124" i="1" s="1"/>
  <c r="D193" i="1"/>
  <c r="E193" i="1"/>
  <c r="M60" i="1"/>
  <c r="N60" i="1" s="1"/>
  <c r="I58" i="1"/>
  <c r="K58" i="1" s="1"/>
  <c r="I57" i="1"/>
  <c r="K57" i="1" s="1"/>
  <c r="M57" i="1" s="1"/>
  <c r="N57" i="1" s="1"/>
  <c r="I51" i="1"/>
  <c r="K51" i="1" s="1"/>
  <c r="M51" i="1" s="1"/>
  <c r="N51" i="1" s="1"/>
  <c r="I43" i="1"/>
  <c r="K43" i="1" s="1"/>
  <c r="M43" i="1" s="1"/>
  <c r="N43" i="1" s="1"/>
  <c r="I39" i="1"/>
  <c r="K39" i="1" s="1"/>
  <c r="I31" i="1"/>
  <c r="K31" i="1" s="1"/>
  <c r="I23" i="1"/>
  <c r="K23" i="1" s="1"/>
  <c r="N188" i="1"/>
  <c r="N182" i="1"/>
  <c r="N178" i="1"/>
  <c r="N174" i="1"/>
  <c r="N168" i="1"/>
  <c r="N166" i="1"/>
  <c r="N162" i="1"/>
  <c r="N158" i="1"/>
  <c r="N149" i="1"/>
  <c r="N142" i="1"/>
  <c r="D123" i="1"/>
  <c r="E123" i="1"/>
  <c r="I60" i="1"/>
  <c r="K60" i="1" s="1"/>
  <c r="I35" i="1"/>
  <c r="K35" i="1" s="1"/>
  <c r="M35" i="1" s="1"/>
  <c r="N35" i="1" s="1"/>
  <c r="I27" i="1"/>
  <c r="K27" i="1" s="1"/>
  <c r="M27" i="1" s="1"/>
  <c r="N27" i="1" s="1"/>
  <c r="N198" i="1"/>
  <c r="N194" i="1"/>
  <c r="N171" i="1"/>
  <c r="N164" i="1"/>
  <c r="N156" i="1"/>
  <c r="N152" i="1"/>
  <c r="N146" i="1"/>
  <c r="N140" i="1"/>
  <c r="N130" i="1"/>
  <c r="I15" i="1"/>
  <c r="K15" i="1" s="1"/>
  <c r="I5" i="1"/>
  <c r="K5" i="1" s="1"/>
  <c r="M5" i="1" s="1"/>
  <c r="N5" i="1" s="1"/>
  <c r="N202" i="1"/>
  <c r="I201" i="1"/>
  <c r="K201" i="1" s="1"/>
  <c r="M201" i="1" s="1"/>
  <c r="N201" i="1" s="1"/>
  <c r="I200" i="1"/>
  <c r="K200" i="1" s="1"/>
  <c r="N197" i="1"/>
  <c r="N192" i="1"/>
  <c r="N190" i="1"/>
  <c r="I187" i="1"/>
  <c r="K187" i="1" s="1"/>
  <c r="M187" i="1" s="1"/>
  <c r="N187" i="1" s="1"/>
  <c r="I186" i="1"/>
  <c r="K186" i="1" s="1"/>
  <c r="N184" i="1"/>
  <c r="N181" i="1"/>
  <c r="N177" i="1"/>
  <c r="N176" i="1"/>
  <c r="I173" i="1"/>
  <c r="K173" i="1" s="1"/>
  <c r="M173" i="1" s="1"/>
  <c r="N173" i="1" s="1"/>
  <c r="I169" i="1"/>
  <c r="K169" i="1" s="1"/>
  <c r="N167" i="1"/>
  <c r="N165" i="1"/>
  <c r="N163" i="1"/>
  <c r="N161" i="1"/>
  <c r="N160" i="1"/>
  <c r="N157" i="1"/>
  <c r="N155" i="1"/>
  <c r="N154" i="1"/>
  <c r="N151" i="1"/>
  <c r="N145" i="1"/>
  <c r="N144" i="1"/>
  <c r="N141" i="1"/>
  <c r="N138" i="1"/>
  <c r="N137" i="1"/>
  <c r="I129" i="1"/>
  <c r="K129" i="1" s="1"/>
  <c r="I127" i="1"/>
  <c r="K127" i="1" s="1"/>
  <c r="M127" i="1" s="1"/>
  <c r="N127" i="1" s="1"/>
  <c r="I125" i="1"/>
  <c r="K125" i="1" s="1"/>
  <c r="M125" i="1" s="1"/>
  <c r="N125" i="1" s="1"/>
  <c r="I121" i="1"/>
  <c r="K121" i="1" s="1"/>
  <c r="I56" i="1"/>
  <c r="K56" i="1" s="1"/>
  <c r="I55" i="1"/>
  <c r="K55" i="1" s="1"/>
  <c r="I53" i="1"/>
  <c r="K53" i="1" s="1"/>
  <c r="I49" i="1"/>
  <c r="K49" i="1" s="1"/>
  <c r="M49" i="1" s="1"/>
  <c r="N49" i="1" s="1"/>
  <c r="N47" i="1"/>
  <c r="N45" i="1"/>
  <c r="N41" i="1"/>
  <c r="I40" i="1"/>
  <c r="K40" i="1" s="1"/>
  <c r="M40" i="1" s="1"/>
  <c r="N40" i="1" s="1"/>
  <c r="N37" i="1"/>
  <c r="N33" i="1"/>
  <c r="N29" i="1"/>
  <c r="N25" i="1"/>
  <c r="I21" i="1"/>
  <c r="K21" i="1" s="1"/>
  <c r="M21" i="1" s="1"/>
  <c r="N21" i="1" s="1"/>
  <c r="I17" i="1"/>
  <c r="K17" i="1" s="1"/>
  <c r="M15" i="1"/>
  <c r="N15" i="1" s="1"/>
  <c r="I11" i="1"/>
  <c r="K11" i="1" s="1"/>
  <c r="M11" i="1" s="1"/>
  <c r="N11" i="1" s="1"/>
  <c r="N7" i="1"/>
  <c r="N3" i="1"/>
  <c r="N199" i="1"/>
  <c r="I195" i="1"/>
  <c r="K195" i="1" s="1"/>
  <c r="M195" i="1" s="1"/>
  <c r="N195" i="1" s="1"/>
  <c r="N193" i="1"/>
  <c r="N191" i="1"/>
  <c r="N189" i="1"/>
  <c r="N185" i="1"/>
  <c r="N183" i="1"/>
  <c r="I179" i="1"/>
  <c r="K179" i="1" s="1"/>
  <c r="M179" i="1" s="1"/>
  <c r="N179" i="1" s="1"/>
  <c r="N175" i="1"/>
  <c r="M169" i="1"/>
  <c r="N169" i="1" s="1"/>
  <c r="I167" i="1"/>
  <c r="K167" i="1" s="1"/>
  <c r="N159" i="1"/>
  <c r="N153" i="1"/>
  <c r="N147" i="1"/>
  <c r="N143" i="1"/>
  <c r="I137" i="1"/>
  <c r="K137" i="1" s="1"/>
  <c r="I135" i="1"/>
  <c r="K135" i="1" s="1"/>
  <c r="M135" i="1" s="1"/>
  <c r="N135" i="1" s="1"/>
  <c r="I133" i="1"/>
  <c r="K133" i="1" s="1"/>
  <c r="M133" i="1" s="1"/>
  <c r="N133" i="1" s="1"/>
  <c r="M129" i="1"/>
  <c r="N129" i="1" s="1"/>
  <c r="M121" i="1"/>
  <c r="N121" i="1" s="1"/>
  <c r="I119" i="1"/>
  <c r="K119" i="1" s="1"/>
  <c r="M119" i="1" s="1"/>
  <c r="N119" i="1" s="1"/>
  <c r="I110" i="1"/>
  <c r="K110" i="1" s="1"/>
  <c r="I100" i="1"/>
  <c r="K100" i="1" s="1"/>
  <c r="M100" i="1" s="1"/>
  <c r="N100" i="1" s="1"/>
  <c r="I92" i="1"/>
  <c r="K92" i="1" s="1"/>
  <c r="M92" i="1" s="1"/>
  <c r="N92" i="1" s="1"/>
  <c r="I80" i="1"/>
  <c r="K80" i="1" s="1"/>
  <c r="I70" i="1"/>
  <c r="K70" i="1" s="1"/>
  <c r="M70" i="1" s="1"/>
  <c r="N70" i="1" s="1"/>
  <c r="I66" i="1"/>
  <c r="K66" i="1" s="1"/>
  <c r="N139" i="1"/>
  <c r="N131" i="1"/>
  <c r="N123" i="1"/>
  <c r="N117" i="1"/>
  <c r="I112" i="1"/>
  <c r="K112" i="1" s="1"/>
  <c r="M110" i="1"/>
  <c r="N110" i="1" s="1"/>
  <c r="I106" i="1"/>
  <c r="K106" i="1" s="1"/>
  <c r="M106" i="1" s="1"/>
  <c r="N106" i="1" s="1"/>
  <c r="N102" i="1"/>
  <c r="N98" i="1"/>
  <c r="N94" i="1"/>
  <c r="N90" i="1"/>
  <c r="I86" i="1"/>
  <c r="K86" i="1" s="1"/>
  <c r="M86" i="1" s="1"/>
  <c r="N86" i="1" s="1"/>
  <c r="I82" i="1"/>
  <c r="K82" i="1" s="1"/>
  <c r="M80" i="1"/>
  <c r="N80" i="1" s="1"/>
  <c r="I76" i="1"/>
  <c r="K76" i="1" s="1"/>
  <c r="M76" i="1" s="1"/>
  <c r="N76" i="1" s="1"/>
  <c r="N72" i="1"/>
  <c r="M66" i="1"/>
  <c r="N66" i="1" s="1"/>
  <c r="I64" i="1"/>
  <c r="K64" i="1" s="1"/>
  <c r="M53" i="1"/>
  <c r="N53" i="1" s="1"/>
  <c r="M56" i="1"/>
  <c r="N56" i="1" s="1"/>
  <c r="I59" i="1"/>
  <c r="K59" i="1" s="1"/>
  <c r="M59" i="1" s="1"/>
  <c r="N59" i="1" s="1"/>
</calcChain>
</file>

<file path=xl/sharedStrings.xml><?xml version="1.0" encoding="utf-8"?>
<sst xmlns="http://schemas.openxmlformats.org/spreadsheetml/2006/main" count="311" uniqueCount="239">
  <si>
    <t>100101111011000</t>
  </si>
  <si>
    <t>100101011100000</t>
  </si>
  <si>
    <t>1010010101110000</t>
  </si>
  <si>
    <t>101010011010101</t>
  </si>
  <si>
    <t>1101001001100000</t>
  </si>
  <si>
    <t>1101100101010000</t>
  </si>
  <si>
    <t>101010101010100</t>
  </si>
  <si>
    <t>101011010101111</t>
  </si>
  <si>
    <t>1001101011010000</t>
  </si>
  <si>
    <t>101010111010010</t>
  </si>
  <si>
    <t>1010010110110110</t>
  </si>
  <si>
    <t>1010010011010000</t>
  </si>
  <si>
    <t>1101001001010000</t>
  </si>
  <si>
    <t>1101001001010101</t>
  </si>
  <si>
    <t>1011010101001111</t>
  </si>
  <si>
    <t>1101011010100000</t>
  </si>
  <si>
    <t>1010110110100010</t>
  </si>
  <si>
    <t>1001010110110000</t>
  </si>
  <si>
    <t>100100101110111</t>
  </si>
  <si>
    <t>100100101111111</t>
  </si>
  <si>
    <t>1010010010110000</t>
  </si>
  <si>
    <t>1011010010110101</t>
  </si>
  <si>
    <t>110101001010000</t>
  </si>
  <si>
    <t>110110101000000</t>
  </si>
  <si>
    <t>1010101101010100</t>
  </si>
  <si>
    <t>10101101101111</t>
  </si>
  <si>
    <t>1001010101110000</t>
  </si>
  <si>
    <t>101001011110010</t>
  </si>
  <si>
    <t>100100101110000</t>
  </si>
  <si>
    <t>110010101100110</t>
  </si>
  <si>
    <t>1101010010100000</t>
  </si>
  <si>
    <t>1110101001010000</t>
  </si>
  <si>
    <t>110101010010101</t>
  </si>
  <si>
    <t>101101011011111</t>
  </si>
  <si>
    <t>10101101100000</t>
  </si>
  <si>
    <t>1000011011100011</t>
  </si>
  <si>
    <t>1001001011101111</t>
  </si>
  <si>
    <t>1100100011010111</t>
  </si>
  <si>
    <t>1100100101011111</t>
  </si>
  <si>
    <t>1101100010100110</t>
  </si>
  <si>
    <t>1011010101011111</t>
  </si>
  <si>
    <t>101011010100000</t>
  </si>
  <si>
    <t>1010010110110100</t>
  </si>
  <si>
    <t>10010111011111</t>
  </si>
  <si>
    <t>1001001011010000</t>
  </si>
  <si>
    <t>1101001010110010</t>
  </si>
  <si>
    <t>1010100101010000</t>
  </si>
  <si>
    <t>1011010101010111</t>
  </si>
  <si>
    <t>110110010100000</t>
  </si>
  <si>
    <t>1011010101010000</t>
  </si>
  <si>
    <t>101001101010101</t>
  </si>
  <si>
    <t>100110110101111</t>
  </si>
  <si>
    <t>1010010110110000</t>
  </si>
  <si>
    <t>100010101110011</t>
  </si>
  <si>
    <t>101001010111111</t>
  </si>
  <si>
    <t>1010100110101000</t>
  </si>
  <si>
    <t>1110100101010000</t>
  </si>
  <si>
    <t>110101010100000</t>
  </si>
  <si>
    <t>1010111010100110</t>
  </si>
  <si>
    <t>1010101101010000</t>
  </si>
  <si>
    <t>100101101100000</t>
  </si>
  <si>
    <t>1010101011100100</t>
  </si>
  <si>
    <t>101001001100000</t>
  </si>
  <si>
    <t>1111001001100011</t>
  </si>
  <si>
    <t>101101101010111</t>
  </si>
  <si>
    <t>1001011011010000</t>
  </si>
  <si>
    <t>100110111010101</t>
  </si>
  <si>
    <t>100101011010000</t>
  </si>
  <si>
    <t>1101010011010100</t>
  </si>
  <si>
    <t>1101010101011000</t>
  </si>
  <si>
    <t>1011010101000000</t>
  </si>
  <si>
    <t>1011011010100000</t>
  </si>
  <si>
    <t>1001010110100110</t>
  </si>
  <si>
    <t>1001010110111111</t>
  </si>
  <si>
    <t>100100110110000</t>
  </si>
  <si>
    <t>1010100101110100</t>
  </si>
  <si>
    <t>1011001001111010</t>
  </si>
  <si>
    <t>1010111101000110</t>
  </si>
  <si>
    <t>1010101101100000</t>
  </si>
  <si>
    <t>100101011110101</t>
  </si>
  <si>
    <t>110010010110000</t>
  </si>
  <si>
    <t>111010010100011</t>
  </si>
  <si>
    <t>110101101011000</t>
  </si>
  <si>
    <t>101101011000000</t>
  </si>
  <si>
    <t>1001011011010101</t>
  </si>
  <si>
    <t>1001001011100000</t>
  </si>
  <si>
    <t>1100100101100000</t>
  </si>
  <si>
    <t>1101100101010100</t>
  </si>
  <si>
    <t>1101101001010000</t>
  </si>
  <si>
    <t>111010101010010</t>
  </si>
  <si>
    <t>1010101110110111</t>
  </si>
  <si>
    <t>10010111010000</t>
  </si>
  <si>
    <t>1100101010110101</t>
  </si>
  <si>
    <t>1011010010100000</t>
  </si>
  <si>
    <t>1011101010100100</t>
  </si>
  <si>
    <t>1010110101010000</t>
  </si>
  <si>
    <t>101010111011001</t>
  </si>
  <si>
    <t>100101110100000</t>
  </si>
  <si>
    <t>101000101110110</t>
  </si>
  <si>
    <t>1010100100110000</t>
  </si>
  <si>
    <t>111100101010100</t>
  </si>
  <si>
    <t>101101101010010</t>
  </si>
  <si>
    <t>1010011011100110</t>
  </si>
  <si>
    <t>1010010011100000</t>
  </si>
  <si>
    <t>1110101001100101</t>
  </si>
  <si>
    <t>1101010100110000</t>
  </si>
  <si>
    <t>101101010100000</t>
  </si>
  <si>
    <t>111011010100011</t>
  </si>
  <si>
    <t>100101011111011</t>
  </si>
  <si>
    <t>1101000010110110</t>
  </si>
  <si>
    <t>1101001001011111</t>
  </si>
  <si>
    <t>1101010100100000</t>
  </si>
  <si>
    <t>1101110101000101</t>
  </si>
  <si>
    <t>1011010110100000</t>
  </si>
  <si>
    <t>101011011010000</t>
  </si>
  <si>
    <t>101010110110010</t>
  </si>
  <si>
    <t>1010010101110111</t>
  </si>
  <si>
    <t>1010101001010000</t>
  </si>
  <si>
    <t>1011001001010101</t>
  </si>
  <si>
    <t>110110100101111</t>
  </si>
  <si>
    <t>1010110110100000</t>
  </si>
  <si>
    <t>100101101100011</t>
  </si>
  <si>
    <t>1001001101111111</t>
  </si>
  <si>
    <t>100100111111000</t>
  </si>
  <si>
    <t>110100010100110</t>
  </si>
  <si>
    <t>1110101001011111</t>
  </si>
  <si>
    <t>110101100100000</t>
  </si>
  <si>
    <t>1010011011000100</t>
  </si>
  <si>
    <t>1010101011101111</t>
  </si>
  <si>
    <t>1101001011100011</t>
  </si>
  <si>
    <t>1101010101010111</t>
  </si>
  <si>
    <t>101110101010101</t>
  </si>
  <si>
    <t>1010011011010000</t>
  </si>
  <si>
    <t>101010111010100</t>
  </si>
  <si>
    <t>101001011010000</t>
  </si>
  <si>
    <t>1010100110111000</t>
  </si>
  <si>
    <t>1011011010100110</t>
  </si>
  <si>
    <t>101010110100000</t>
  </si>
  <si>
    <t>1010101110100100</t>
  </si>
  <si>
    <t>101001010110000</t>
  </si>
  <si>
    <t>1011001001110011</t>
  </si>
  <si>
    <t>110100100110000</t>
  </si>
  <si>
    <t>111001100110111</t>
  </si>
  <si>
    <t>100101101010101</t>
  </si>
  <si>
    <t>100101101101111</t>
  </si>
  <si>
    <t>101010011100100</t>
  </si>
  <si>
    <t>1110100101101000</t>
  </si>
  <si>
    <t>1101101010100000</t>
  </si>
  <si>
    <t>110101010100110</t>
  </si>
  <si>
    <t>101011011011111</t>
  </si>
  <si>
    <t>1010100111010100</t>
  </si>
  <si>
    <t>1101000101010000</t>
  </si>
  <si>
    <t>1111001001010010</t>
  </si>
  <si>
    <t>101001001011</t>
  </si>
  <si>
    <t>1010001011001001011</t>
  </si>
  <si>
    <t>11010100101</t>
  </si>
  <si>
    <t>11011010100</t>
  </si>
  <si>
    <t>1000001010110110101</t>
  </si>
  <si>
    <t>1010110110</t>
  </si>
  <si>
    <t>100101010111</t>
  </si>
  <si>
    <t>100000100100101111</t>
  </si>
  <si>
    <t>10010010111</t>
  </si>
  <si>
    <t>1100000110010010110</t>
  </si>
  <si>
    <t>110101001010</t>
  </si>
  <si>
    <t>111010100101</t>
  </si>
  <si>
    <t>1010000110110101001</t>
  </si>
  <si>
    <t>10110101101</t>
  </si>
  <si>
    <t>110001001001101110</t>
  </si>
  <si>
    <t>100100101110</t>
  </si>
  <si>
    <t>1110001100100101101</t>
  </si>
  <si>
    <t>110010010101</t>
  </si>
  <si>
    <t>1100001101101001010</t>
  </si>
  <si>
    <t>101101010101</t>
  </si>
  <si>
    <t>10101101010</t>
  </si>
  <si>
    <t>1000001010101011011</t>
  </si>
  <si>
    <t>1001011101</t>
  </si>
  <si>
    <t>100100101101</t>
  </si>
  <si>
    <t>100001100100101011</t>
  </si>
  <si>
    <t>101010010101</t>
  </si>
  <si>
    <t>1110001011010010101</t>
  </si>
  <si>
    <t>11011001010</t>
  </si>
  <si>
    <t>1010000101010110101</t>
  </si>
  <si>
    <t>10011011010</t>
  </si>
  <si>
    <t>101001011011</t>
  </si>
  <si>
    <t>110000101001010111</t>
  </si>
  <si>
    <t>10100101011</t>
  </si>
  <si>
    <t>10000001010100101010</t>
  </si>
  <si>
    <t>111010010101</t>
  </si>
  <si>
    <t>11010101010</t>
  </si>
  <si>
    <t>1100001010110101010</t>
  </si>
  <si>
    <t>101010110101</t>
  </si>
  <si>
    <t>10010110110</t>
  </si>
  <si>
    <t>1000001010010101110</t>
  </si>
  <si>
    <t>101001010111</t>
  </si>
  <si>
    <t>10100100110</t>
  </si>
  <si>
    <t>110001110100100110</t>
  </si>
  <si>
    <t>110110010101</t>
  </si>
  <si>
    <t>1110000101101010101</t>
  </si>
  <si>
    <t>100101101101</t>
  </si>
  <si>
    <t>1010000100101011101</t>
  </si>
  <si>
    <t>10010101101</t>
  </si>
  <si>
    <t>101001001101</t>
  </si>
  <si>
    <t>1000001101001001101</t>
  </si>
  <si>
    <t>110100100101</t>
  </si>
  <si>
    <t>10000001101010100101</t>
  </si>
  <si>
    <t>101101010100</t>
  </si>
  <si>
    <t>101101101010</t>
  </si>
  <si>
    <t>1100001001011011010</t>
  </si>
  <si>
    <t>100101011011</t>
  </si>
  <si>
    <t>10010011011</t>
  </si>
  <si>
    <t>1000001010010010111</t>
  </si>
  <si>
    <t>10100001011001001011</t>
  </si>
  <si>
    <t>1100001010110110100</t>
  </si>
  <si>
    <t>101010110110</t>
  </si>
  <si>
    <t>1010000100100101111</t>
  </si>
  <si>
    <t>11001001011</t>
  </si>
  <si>
    <t>110000110101001010</t>
  </si>
  <si>
    <t>10000000110101100101</t>
  </si>
  <si>
    <t>10110101100</t>
  </si>
  <si>
    <t>1010001001001101101</t>
  </si>
  <si>
    <t>110010010110</t>
  </si>
  <si>
    <t>1000001101010010101</t>
  </si>
  <si>
    <t>110110100101</t>
  </si>
  <si>
    <t>100000101101010101</t>
  </si>
  <si>
    <t>1110001010101011011</t>
  </si>
  <si>
    <t>1010001100100101011</t>
  </si>
  <si>
    <t>101101001010</t>
  </si>
  <si>
    <t>1000001011010101010</t>
  </si>
  <si>
    <t>101011010101</t>
  </si>
  <si>
    <t>10010000101010110101</t>
  </si>
  <si>
    <t>10010111010</t>
  </si>
  <si>
    <t>1100000101001010111</t>
  </si>
  <si>
    <t>101010010011</t>
  </si>
  <si>
    <t>1000000111010010101</t>
  </si>
  <si>
    <t>df</t>
  </si>
  <si>
    <t>sadf</t>
  </si>
  <si>
    <t>adf</t>
  </si>
  <si>
    <t>result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</si>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</sst>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3"/>
  <sheetViews>
    <sheetView tabSelected="1" topLeftCell="D172" workbookViewId="0">
      <selection activeCell="O2" sqref="O2:O202"/>
    </sheetView>
  </sheetViews>
  <sheetFormatPr defaultRowHeight="15" x14ac:dyDescent="0.25"/>
  <cols>
    <col min="1" max="1" width="7.42578125" style="1" bestFit="1" customWidth="1"/>
    <col min="2" max="2" width="22.28515625" style="1" bestFit="1" customWidth="1"/>
    <col min="3" max="3" width="27.5703125" style="3" bestFit="1" customWidth="1"/>
    <col min="4" max="4" width="7.7109375" style="1" customWidth="1"/>
    <col min="5" max="5" width="27.5703125" style="1" customWidth="1"/>
    <col min="6" max="6" width="9.140625" style="1" customWidth="1"/>
    <col min="7" max="7" width="16.85546875" style="1" customWidth="1"/>
    <col min="8" max="8" width="2.5703125" style="1" customWidth="1"/>
    <col min="9" max="9" width="18.28515625" style="1" customWidth="1"/>
    <col min="10" max="10" width="3.85546875" style="1" customWidth="1"/>
    <col min="11" max="12" width="9.140625" style="1" customWidth="1"/>
    <col min="13" max="13" width="27.5703125" style="1" bestFit="1" customWidth="1"/>
    <col min="14" max="14" width="9.140625" style="1" customWidth="1"/>
    <col min="15" max="15" width="10.28515625" style="1" bestFit="1" customWidth="1"/>
    <col min="16" max="16384" width="9.140625" style="1"/>
  </cols>
  <sheetData>
    <row r="1" spans="1:15" x14ac:dyDescent="0.25">
      <c r="A1" s="1" t="s">
        <v>236</v>
      </c>
      <c r="B1" s="1" t="s">
        <v>235</v>
      </c>
      <c r="C1" s="3" t="s">
        <v>235</v>
      </c>
      <c r="D1" s="1" t="s">
        <v>234</v>
      </c>
      <c r="M1" s="1" t="s">
        <v>237</v>
      </c>
      <c r="N1" s="1" t="s">
        <v>238</v>
      </c>
    </row>
    <row r="2" spans="1:15" x14ac:dyDescent="0.25">
      <c r="A2" s="1">
        <v>1900</v>
      </c>
      <c r="B2" s="2" t="s">
        <v>0</v>
      </c>
      <c r="D2" s="1" t="b">
        <f t="shared" ref="D2:D22" si="0">C2&amp;"0000" = B2</f>
        <v>0</v>
      </c>
      <c r="E2" s="1" t="str">
        <f t="shared" ref="E2:E58" si="1">RIGHT("00000000000000000000" &amp; C2,20)</f>
        <v>00000000000000000000</v>
      </c>
      <c r="F2" s="1" t="str">
        <f t="shared" ref="F2:F58" si="2">IF(RIGHT(B2,4)="1111","0000",RIGHT(B2,4))</f>
        <v>1000</v>
      </c>
      <c r="G2" s="1" t="str">
        <f t="shared" ref="G2:G58" si="3">RIGHT("00000" &amp; LEFT(B2,LEN(B2)-4),12)</f>
        <v>010010111101</v>
      </c>
      <c r="H2" s="1">
        <f t="shared" ref="H2:H58" si="4">IF(RIGHT(B3,4)="1111",1,0)</f>
        <v>0</v>
      </c>
      <c r="I2" s="1" t="str">
        <f t="shared" ref="I2:I58" si="5">LEFT(G2,J2) &amp; H2 &amp; MID(G2,J2+1,100)</f>
        <v>0100101101101</v>
      </c>
      <c r="J2" s="1">
        <f t="shared" ref="J2:J58" si="6">BIN2DEC(F2)</f>
        <v>8</v>
      </c>
      <c r="K2" s="1" t="str">
        <f t="shared" ref="K2:K58" si="7">RIGHT("000000000000000" &amp; I2,16)</f>
        <v>0000100101101101</v>
      </c>
      <c r="M2" s="1" t="str">
        <f t="shared" ref="M2:M58" si="8">IF(F2="0000",RIGHT("00000000000000000000" &amp; LEFT(B2,LEN(B2)-4),20),F2&amp;K2)</f>
        <v>10000000100101101101</v>
      </c>
      <c r="N2" s="1" t="b">
        <f t="shared" ref="N2:N58" si="9">M2=E2</f>
        <v>0</v>
      </c>
      <c r="O2" s="1">
        <f>mBin2Dec(M2)</f>
        <v>526701</v>
      </c>
    </row>
    <row r="3" spans="1:15" x14ac:dyDescent="0.25">
      <c r="A3" s="1">
        <v>1901</v>
      </c>
      <c r="B3" s="2" t="s">
        <v>1</v>
      </c>
      <c r="D3" s="1" t="b">
        <f t="shared" si="0"/>
        <v>0</v>
      </c>
      <c r="E3" s="1" t="str">
        <f t="shared" si="1"/>
        <v>00000000000000000000</v>
      </c>
      <c r="F3" s="1" t="str">
        <f t="shared" si="2"/>
        <v>0000</v>
      </c>
      <c r="G3" s="1" t="str">
        <f t="shared" si="3"/>
        <v>010010101110</v>
      </c>
      <c r="H3" s="1">
        <f t="shared" si="4"/>
        <v>0</v>
      </c>
      <c r="I3" s="1" t="str">
        <f t="shared" si="5"/>
        <v>0010010101110</v>
      </c>
      <c r="J3" s="1">
        <f t="shared" si="6"/>
        <v>0</v>
      </c>
      <c r="K3" s="1" t="str">
        <f t="shared" si="7"/>
        <v>0000010010101110</v>
      </c>
      <c r="M3" s="1" t="str">
        <f t="shared" si="8"/>
        <v>00000000010010101110</v>
      </c>
      <c r="N3" s="1" t="b">
        <f t="shared" si="9"/>
        <v>0</v>
      </c>
      <c r="O3" s="1">
        <f t="shared" ref="O3:O66" si="10">mBin2Dec(M3)</f>
        <v>1198</v>
      </c>
    </row>
    <row r="4" spans="1:15" x14ac:dyDescent="0.25">
      <c r="A4" s="1">
        <v>1902</v>
      </c>
      <c r="B4" s="2" t="s">
        <v>2</v>
      </c>
      <c r="D4" s="1" t="b">
        <f t="shared" si="0"/>
        <v>0</v>
      </c>
      <c r="E4" s="1" t="str">
        <f t="shared" si="1"/>
        <v>00000000000000000000</v>
      </c>
      <c r="F4" s="1" t="str">
        <f t="shared" si="2"/>
        <v>0000</v>
      </c>
      <c r="G4" s="1" t="str">
        <f t="shared" si="3"/>
        <v>101001010111</v>
      </c>
      <c r="H4" s="1">
        <f t="shared" si="4"/>
        <v>0</v>
      </c>
      <c r="I4" s="1" t="str">
        <f t="shared" si="5"/>
        <v>0101001010111</v>
      </c>
      <c r="J4" s="1">
        <f t="shared" si="6"/>
        <v>0</v>
      </c>
      <c r="K4" s="1" t="str">
        <f t="shared" si="7"/>
        <v>0000101001010111</v>
      </c>
      <c r="M4" s="1" t="str">
        <f t="shared" si="8"/>
        <v>00000000101001010111</v>
      </c>
      <c r="N4" s="1" t="b">
        <f t="shared" si="9"/>
        <v>0</v>
      </c>
      <c r="O4" s="1">
        <f t="shared" si="10"/>
        <v>2647</v>
      </c>
    </row>
    <row r="5" spans="1:15" x14ac:dyDescent="0.25">
      <c r="A5" s="1">
        <v>1903</v>
      </c>
      <c r="B5" s="2" t="s">
        <v>3</v>
      </c>
      <c r="D5" s="1" t="b">
        <f t="shared" si="0"/>
        <v>0</v>
      </c>
      <c r="E5" s="1" t="str">
        <f t="shared" si="1"/>
        <v>00000000000000000000</v>
      </c>
      <c r="F5" s="1" t="str">
        <f t="shared" si="2"/>
        <v>0101</v>
      </c>
      <c r="G5" s="1" t="str">
        <f t="shared" si="3"/>
        <v>010101001101</v>
      </c>
      <c r="H5" s="1">
        <f t="shared" si="4"/>
        <v>0</v>
      </c>
      <c r="I5" s="1" t="str">
        <f t="shared" si="5"/>
        <v>0101001001101</v>
      </c>
      <c r="J5" s="1">
        <f t="shared" si="6"/>
        <v>5</v>
      </c>
      <c r="K5" s="1" t="str">
        <f t="shared" si="7"/>
        <v>0000101001001101</v>
      </c>
      <c r="M5" s="1" t="str">
        <f t="shared" si="8"/>
        <v>01010000101001001101</v>
      </c>
      <c r="N5" s="1" t="b">
        <f t="shared" si="9"/>
        <v>0</v>
      </c>
      <c r="O5" s="1">
        <f t="shared" si="10"/>
        <v>330317</v>
      </c>
    </row>
    <row r="6" spans="1:15" x14ac:dyDescent="0.25">
      <c r="A6" s="1">
        <v>1904</v>
      </c>
      <c r="B6" s="2" t="s">
        <v>4</v>
      </c>
      <c r="D6" s="1" t="b">
        <f t="shared" si="0"/>
        <v>0</v>
      </c>
      <c r="E6" s="1" t="str">
        <f t="shared" si="1"/>
        <v>00000000000000000000</v>
      </c>
      <c r="F6" s="1" t="str">
        <f t="shared" si="2"/>
        <v>0000</v>
      </c>
      <c r="G6" s="1" t="str">
        <f t="shared" si="3"/>
        <v>110100100110</v>
      </c>
      <c r="H6" s="1">
        <f t="shared" si="4"/>
        <v>0</v>
      </c>
      <c r="I6" s="1" t="str">
        <f t="shared" si="5"/>
        <v>0110100100110</v>
      </c>
      <c r="J6" s="1">
        <f t="shared" si="6"/>
        <v>0</v>
      </c>
      <c r="K6" s="1" t="str">
        <f t="shared" si="7"/>
        <v>0000110100100110</v>
      </c>
      <c r="M6" s="1" t="str">
        <f t="shared" si="8"/>
        <v>00000000110100100110</v>
      </c>
      <c r="N6" s="1" t="b">
        <f t="shared" si="9"/>
        <v>0</v>
      </c>
      <c r="O6" s="1">
        <f t="shared" si="10"/>
        <v>3366</v>
      </c>
    </row>
    <row r="7" spans="1:15" x14ac:dyDescent="0.25">
      <c r="A7" s="1">
        <v>1905</v>
      </c>
      <c r="B7" s="2" t="s">
        <v>5</v>
      </c>
      <c r="D7" s="1" t="b">
        <f t="shared" si="0"/>
        <v>0</v>
      </c>
      <c r="E7" s="1" t="str">
        <f t="shared" si="1"/>
        <v>00000000000000000000</v>
      </c>
      <c r="F7" s="1" t="str">
        <f t="shared" si="2"/>
        <v>0000</v>
      </c>
      <c r="G7" s="1" t="str">
        <f t="shared" si="3"/>
        <v>110110010101</v>
      </c>
      <c r="H7" s="1">
        <f t="shared" si="4"/>
        <v>0</v>
      </c>
      <c r="I7" s="1" t="str">
        <f t="shared" si="5"/>
        <v>0110110010101</v>
      </c>
      <c r="J7" s="1">
        <f t="shared" si="6"/>
        <v>0</v>
      </c>
      <c r="K7" s="1" t="str">
        <f t="shared" si="7"/>
        <v>0000110110010101</v>
      </c>
      <c r="M7" s="1" t="str">
        <f t="shared" si="8"/>
        <v>00000000110110010101</v>
      </c>
      <c r="N7" s="1" t="b">
        <f t="shared" si="9"/>
        <v>0</v>
      </c>
      <c r="O7" s="1">
        <f t="shared" si="10"/>
        <v>3477</v>
      </c>
    </row>
    <row r="8" spans="1:15" x14ac:dyDescent="0.25">
      <c r="A8" s="1">
        <v>1906</v>
      </c>
      <c r="B8" s="2" t="s">
        <v>6</v>
      </c>
      <c r="D8" s="1" t="b">
        <f t="shared" si="0"/>
        <v>0</v>
      </c>
      <c r="E8" s="1" t="str">
        <f t="shared" si="1"/>
        <v>00000000000000000000</v>
      </c>
      <c r="F8" s="1" t="str">
        <f t="shared" si="2"/>
        <v>0100</v>
      </c>
      <c r="G8" s="1" t="str">
        <f t="shared" si="3"/>
        <v>010101010101</v>
      </c>
      <c r="H8" s="1">
        <f t="shared" si="4"/>
        <v>1</v>
      </c>
      <c r="I8" s="1" t="str">
        <f t="shared" si="5"/>
        <v>0101101010101</v>
      </c>
      <c r="J8" s="1">
        <f t="shared" si="6"/>
        <v>4</v>
      </c>
      <c r="K8" s="1" t="str">
        <f t="shared" si="7"/>
        <v>0000101101010101</v>
      </c>
      <c r="M8" s="1" t="str">
        <f t="shared" si="8"/>
        <v>01000000101101010101</v>
      </c>
      <c r="N8" s="1" t="b">
        <f t="shared" si="9"/>
        <v>0</v>
      </c>
      <c r="O8" s="1">
        <f t="shared" si="10"/>
        <v>265045</v>
      </c>
    </row>
    <row r="9" spans="1:15" x14ac:dyDescent="0.25">
      <c r="A9" s="1">
        <v>1907</v>
      </c>
      <c r="B9" s="2" t="s">
        <v>7</v>
      </c>
      <c r="D9" s="1" t="b">
        <f t="shared" si="0"/>
        <v>0</v>
      </c>
      <c r="E9" s="1" t="str">
        <f t="shared" si="1"/>
        <v>00000000000000000000</v>
      </c>
      <c r="F9" s="1" t="str">
        <f t="shared" si="2"/>
        <v>0000</v>
      </c>
      <c r="G9" s="1" t="str">
        <f t="shared" si="3"/>
        <v>010101101010</v>
      </c>
      <c r="H9" s="1">
        <f t="shared" si="4"/>
        <v>0</v>
      </c>
      <c r="I9" s="1" t="str">
        <f t="shared" si="5"/>
        <v>0010101101010</v>
      </c>
      <c r="J9" s="1">
        <f t="shared" si="6"/>
        <v>0</v>
      </c>
      <c r="K9" s="1" t="str">
        <f t="shared" si="7"/>
        <v>0000010101101010</v>
      </c>
      <c r="M9" s="1" t="str">
        <f t="shared" si="8"/>
        <v>00000000010101101010</v>
      </c>
      <c r="N9" s="1" t="b">
        <f t="shared" si="9"/>
        <v>0</v>
      </c>
      <c r="O9" s="1">
        <f t="shared" si="10"/>
        <v>1386</v>
      </c>
    </row>
    <row r="10" spans="1:15" x14ac:dyDescent="0.25">
      <c r="A10" s="1">
        <v>1908</v>
      </c>
      <c r="B10" s="2" t="s">
        <v>8</v>
      </c>
      <c r="D10" s="1" t="b">
        <f t="shared" si="0"/>
        <v>0</v>
      </c>
      <c r="E10" s="1" t="str">
        <f t="shared" si="1"/>
        <v>00000000000000000000</v>
      </c>
      <c r="F10" s="1" t="str">
        <f t="shared" si="2"/>
        <v>0000</v>
      </c>
      <c r="G10" s="1" t="str">
        <f t="shared" si="3"/>
        <v>100110101101</v>
      </c>
      <c r="H10" s="1">
        <f t="shared" si="4"/>
        <v>0</v>
      </c>
      <c r="I10" s="1" t="str">
        <f t="shared" si="5"/>
        <v>0100110101101</v>
      </c>
      <c r="J10" s="1">
        <f t="shared" si="6"/>
        <v>0</v>
      </c>
      <c r="K10" s="1" t="str">
        <f t="shared" si="7"/>
        <v>0000100110101101</v>
      </c>
      <c r="M10" s="1" t="str">
        <f t="shared" si="8"/>
        <v>00000000100110101101</v>
      </c>
      <c r="N10" s="1" t="b">
        <f t="shared" si="9"/>
        <v>0</v>
      </c>
      <c r="O10" s="1">
        <f t="shared" si="10"/>
        <v>2477</v>
      </c>
    </row>
    <row r="11" spans="1:15" x14ac:dyDescent="0.25">
      <c r="A11" s="1">
        <v>1909</v>
      </c>
      <c r="B11" s="2" t="s">
        <v>9</v>
      </c>
      <c r="D11" s="1" t="b">
        <f t="shared" si="0"/>
        <v>0</v>
      </c>
      <c r="E11" s="1" t="str">
        <f t="shared" si="1"/>
        <v>00000000000000000000</v>
      </c>
      <c r="F11" s="1" t="str">
        <f t="shared" si="2"/>
        <v>0010</v>
      </c>
      <c r="G11" s="1" t="str">
        <f t="shared" si="3"/>
        <v>010101011101</v>
      </c>
      <c r="H11" s="1">
        <f t="shared" si="4"/>
        <v>0</v>
      </c>
      <c r="I11" s="1" t="str">
        <f t="shared" si="5"/>
        <v>0100101011101</v>
      </c>
      <c r="J11" s="1">
        <f t="shared" si="6"/>
        <v>2</v>
      </c>
      <c r="K11" s="1" t="str">
        <f t="shared" si="7"/>
        <v>0000100101011101</v>
      </c>
      <c r="M11" s="1" t="str">
        <f t="shared" si="8"/>
        <v>00100000100101011101</v>
      </c>
      <c r="N11" s="1" t="b">
        <f t="shared" si="9"/>
        <v>0</v>
      </c>
      <c r="O11" s="1">
        <f t="shared" si="10"/>
        <v>133469</v>
      </c>
    </row>
    <row r="12" spans="1:15" x14ac:dyDescent="0.25">
      <c r="A12" s="1">
        <v>1910</v>
      </c>
      <c r="B12" s="2" t="s">
        <v>1</v>
      </c>
      <c r="D12" s="1" t="b">
        <f t="shared" si="0"/>
        <v>0</v>
      </c>
      <c r="E12" s="1" t="str">
        <f t="shared" si="1"/>
        <v>00000000000000000000</v>
      </c>
      <c r="F12" s="1" t="str">
        <f t="shared" si="2"/>
        <v>0000</v>
      </c>
      <c r="G12" s="1" t="str">
        <f t="shared" si="3"/>
        <v>010010101110</v>
      </c>
      <c r="H12" s="1">
        <f t="shared" si="4"/>
        <v>0</v>
      </c>
      <c r="I12" s="1" t="str">
        <f t="shared" si="5"/>
        <v>0010010101110</v>
      </c>
      <c r="J12" s="1">
        <f t="shared" si="6"/>
        <v>0</v>
      </c>
      <c r="K12" s="1" t="str">
        <f t="shared" si="7"/>
        <v>0000010010101110</v>
      </c>
      <c r="M12" s="1" t="str">
        <f t="shared" si="8"/>
        <v>00000000010010101110</v>
      </c>
      <c r="N12" s="1" t="b">
        <f t="shared" si="9"/>
        <v>0</v>
      </c>
      <c r="O12" s="1">
        <f t="shared" si="10"/>
        <v>1198</v>
      </c>
    </row>
    <row r="13" spans="1:15" x14ac:dyDescent="0.25">
      <c r="A13" s="1">
        <v>1911</v>
      </c>
      <c r="B13" s="2" t="s">
        <v>10</v>
      </c>
      <c r="D13" s="1" t="b">
        <f t="shared" si="0"/>
        <v>0</v>
      </c>
      <c r="E13" s="1" t="str">
        <f t="shared" si="1"/>
        <v>00000000000000000000</v>
      </c>
      <c r="F13" s="1" t="str">
        <f t="shared" si="2"/>
        <v>0110</v>
      </c>
      <c r="G13" s="1" t="str">
        <f t="shared" si="3"/>
        <v>101001011011</v>
      </c>
      <c r="H13" s="1">
        <f t="shared" si="4"/>
        <v>0</v>
      </c>
      <c r="I13" s="1" t="str">
        <f t="shared" si="5"/>
        <v>1010010011011</v>
      </c>
      <c r="J13" s="1">
        <f t="shared" si="6"/>
        <v>6</v>
      </c>
      <c r="K13" s="1" t="str">
        <f t="shared" si="7"/>
        <v>0001010010011011</v>
      </c>
      <c r="M13" s="1" t="str">
        <f t="shared" si="8"/>
        <v>01100001010010011011</v>
      </c>
      <c r="N13" s="1" t="b">
        <f t="shared" si="9"/>
        <v>0</v>
      </c>
      <c r="O13" s="1">
        <f t="shared" si="10"/>
        <v>398491</v>
      </c>
    </row>
    <row r="14" spans="1:15" x14ac:dyDescent="0.25">
      <c r="A14" s="1">
        <v>1912</v>
      </c>
      <c r="B14" s="2" t="s">
        <v>11</v>
      </c>
      <c r="D14" s="1" t="b">
        <f t="shared" si="0"/>
        <v>0</v>
      </c>
      <c r="E14" s="1" t="str">
        <f t="shared" si="1"/>
        <v>00000000000000000000</v>
      </c>
      <c r="F14" s="1" t="str">
        <f t="shared" si="2"/>
        <v>0000</v>
      </c>
      <c r="G14" s="1" t="str">
        <f t="shared" si="3"/>
        <v>101001001101</v>
      </c>
      <c r="H14" s="1">
        <f t="shared" si="4"/>
        <v>0</v>
      </c>
      <c r="I14" s="1" t="str">
        <f t="shared" si="5"/>
        <v>0101001001101</v>
      </c>
      <c r="J14" s="1">
        <f t="shared" si="6"/>
        <v>0</v>
      </c>
      <c r="K14" s="1" t="str">
        <f t="shared" si="7"/>
        <v>0000101001001101</v>
      </c>
      <c r="M14" s="1" t="str">
        <f t="shared" si="8"/>
        <v>00000000101001001101</v>
      </c>
      <c r="N14" s="1" t="b">
        <f t="shared" si="9"/>
        <v>0</v>
      </c>
      <c r="O14" s="1">
        <f t="shared" si="10"/>
        <v>2637</v>
      </c>
    </row>
    <row r="15" spans="1:15" x14ac:dyDescent="0.25">
      <c r="A15" s="1">
        <v>1913</v>
      </c>
      <c r="B15" s="2" t="s">
        <v>12</v>
      </c>
      <c r="D15" s="1" t="b">
        <f t="shared" si="0"/>
        <v>0</v>
      </c>
      <c r="E15" s="1" t="str">
        <f t="shared" si="1"/>
        <v>00000000000000000000</v>
      </c>
      <c r="F15" s="1" t="str">
        <f t="shared" si="2"/>
        <v>0000</v>
      </c>
      <c r="G15" s="1" t="str">
        <f t="shared" si="3"/>
        <v>110100100101</v>
      </c>
      <c r="H15" s="1">
        <f t="shared" si="4"/>
        <v>0</v>
      </c>
      <c r="I15" s="1" t="str">
        <f t="shared" si="5"/>
        <v>0110100100101</v>
      </c>
      <c r="J15" s="1">
        <f t="shared" si="6"/>
        <v>0</v>
      </c>
      <c r="K15" s="1" t="str">
        <f t="shared" si="7"/>
        <v>0000110100100101</v>
      </c>
      <c r="M15" s="1" t="str">
        <f t="shared" si="8"/>
        <v>00000000110100100101</v>
      </c>
      <c r="N15" s="1" t="b">
        <f t="shared" si="9"/>
        <v>0</v>
      </c>
      <c r="O15" s="1">
        <f t="shared" si="10"/>
        <v>3365</v>
      </c>
    </row>
    <row r="16" spans="1:15" x14ac:dyDescent="0.25">
      <c r="A16" s="1">
        <v>1914</v>
      </c>
      <c r="B16" s="2" t="s">
        <v>13</v>
      </c>
      <c r="D16" s="1" t="b">
        <f t="shared" si="0"/>
        <v>0</v>
      </c>
      <c r="E16" s="1" t="str">
        <f t="shared" si="1"/>
        <v>00000000000000000000</v>
      </c>
      <c r="F16" s="1" t="str">
        <f t="shared" si="2"/>
        <v>0101</v>
      </c>
      <c r="G16" s="1" t="str">
        <f t="shared" si="3"/>
        <v>110100100101</v>
      </c>
      <c r="H16" s="1">
        <f t="shared" si="4"/>
        <v>1</v>
      </c>
      <c r="I16" s="1" t="str">
        <f t="shared" si="5"/>
        <v>1101010100101</v>
      </c>
      <c r="J16" s="1">
        <f t="shared" si="6"/>
        <v>5</v>
      </c>
      <c r="K16" s="1" t="str">
        <f t="shared" si="7"/>
        <v>0001101010100101</v>
      </c>
      <c r="M16" s="1" t="str">
        <f t="shared" si="8"/>
        <v>01010001101010100101</v>
      </c>
      <c r="N16" s="1" t="b">
        <f t="shared" si="9"/>
        <v>0</v>
      </c>
      <c r="O16" s="1">
        <f t="shared" si="10"/>
        <v>334501</v>
      </c>
    </row>
    <row r="17" spans="1:15" x14ac:dyDescent="0.25">
      <c r="A17" s="1">
        <v>1915</v>
      </c>
      <c r="B17" s="2" t="s">
        <v>14</v>
      </c>
      <c r="D17" s="1" t="b">
        <f t="shared" si="0"/>
        <v>0</v>
      </c>
      <c r="E17" s="1" t="str">
        <f t="shared" si="1"/>
        <v>00000000000000000000</v>
      </c>
      <c r="F17" s="1" t="str">
        <f t="shared" si="2"/>
        <v>0000</v>
      </c>
      <c r="G17" s="1" t="str">
        <f t="shared" si="3"/>
        <v>101101010100</v>
      </c>
      <c r="H17" s="1">
        <f t="shared" si="4"/>
        <v>0</v>
      </c>
      <c r="I17" s="1" t="str">
        <f t="shared" si="5"/>
        <v>0101101010100</v>
      </c>
      <c r="J17" s="1">
        <f t="shared" si="6"/>
        <v>0</v>
      </c>
      <c r="K17" s="1" t="str">
        <f t="shared" si="7"/>
        <v>0000101101010100</v>
      </c>
      <c r="M17" s="1" t="str">
        <f t="shared" si="8"/>
        <v>00000000101101010100</v>
      </c>
      <c r="N17" s="1" t="b">
        <f t="shared" si="9"/>
        <v>0</v>
      </c>
      <c r="O17" s="1">
        <f t="shared" si="10"/>
        <v>2900</v>
      </c>
    </row>
    <row r="18" spans="1:15" x14ac:dyDescent="0.25">
      <c r="A18" s="1">
        <v>1916</v>
      </c>
      <c r="B18" s="2" t="s">
        <v>15</v>
      </c>
      <c r="D18" s="1" t="b">
        <f t="shared" si="0"/>
        <v>0</v>
      </c>
      <c r="E18" s="1" t="str">
        <f t="shared" si="1"/>
        <v>00000000000000000000</v>
      </c>
      <c r="F18" s="1" t="str">
        <f t="shared" si="2"/>
        <v>0000</v>
      </c>
      <c r="G18" s="1" t="str">
        <f t="shared" si="3"/>
        <v>110101101010</v>
      </c>
      <c r="H18" s="1">
        <f t="shared" si="4"/>
        <v>0</v>
      </c>
      <c r="I18" s="1" t="str">
        <f t="shared" si="5"/>
        <v>0110101101010</v>
      </c>
      <c r="J18" s="1">
        <f t="shared" si="6"/>
        <v>0</v>
      </c>
      <c r="K18" s="1" t="str">
        <f t="shared" si="7"/>
        <v>0000110101101010</v>
      </c>
      <c r="M18" s="1" t="str">
        <f t="shared" si="8"/>
        <v>00000000110101101010</v>
      </c>
      <c r="N18" s="1" t="b">
        <f t="shared" si="9"/>
        <v>0</v>
      </c>
      <c r="O18" s="1">
        <f t="shared" si="10"/>
        <v>3434</v>
      </c>
    </row>
    <row r="19" spans="1:15" x14ac:dyDescent="0.25">
      <c r="A19" s="1">
        <v>1917</v>
      </c>
      <c r="B19" s="2" t="s">
        <v>16</v>
      </c>
      <c r="D19" s="1" t="b">
        <f t="shared" si="0"/>
        <v>0</v>
      </c>
      <c r="E19" s="1" t="str">
        <f t="shared" si="1"/>
        <v>00000000000000000000</v>
      </c>
      <c r="F19" s="1" t="str">
        <f t="shared" si="2"/>
        <v>0010</v>
      </c>
      <c r="G19" s="1" t="str">
        <f t="shared" si="3"/>
        <v>101011011010</v>
      </c>
      <c r="H19" s="1">
        <f t="shared" si="4"/>
        <v>0</v>
      </c>
      <c r="I19" s="1" t="str">
        <f t="shared" si="5"/>
        <v>1001011011010</v>
      </c>
      <c r="J19" s="1">
        <f t="shared" si="6"/>
        <v>2</v>
      </c>
      <c r="K19" s="1" t="str">
        <f t="shared" si="7"/>
        <v>0001001011011010</v>
      </c>
      <c r="M19" s="1" t="str">
        <f t="shared" si="8"/>
        <v>00100001001011011010</v>
      </c>
      <c r="N19" s="1" t="b">
        <f t="shared" si="9"/>
        <v>0</v>
      </c>
      <c r="O19" s="1">
        <f t="shared" si="10"/>
        <v>135898</v>
      </c>
    </row>
    <row r="20" spans="1:15" x14ac:dyDescent="0.25">
      <c r="A20" s="1">
        <v>1918</v>
      </c>
      <c r="B20" s="2" t="s">
        <v>17</v>
      </c>
      <c r="D20" s="1" t="b">
        <f t="shared" si="0"/>
        <v>0</v>
      </c>
      <c r="E20" s="1" t="str">
        <f t="shared" si="1"/>
        <v>00000000000000000000</v>
      </c>
      <c r="F20" s="1" t="str">
        <f t="shared" si="2"/>
        <v>0000</v>
      </c>
      <c r="G20" s="1" t="str">
        <f t="shared" si="3"/>
        <v>100101011011</v>
      </c>
      <c r="H20" s="1">
        <f t="shared" si="4"/>
        <v>0</v>
      </c>
      <c r="I20" s="1" t="str">
        <f t="shared" si="5"/>
        <v>0100101011011</v>
      </c>
      <c r="J20" s="1">
        <f t="shared" si="6"/>
        <v>0</v>
      </c>
      <c r="K20" s="1" t="str">
        <f t="shared" si="7"/>
        <v>0000100101011011</v>
      </c>
      <c r="M20" s="1" t="str">
        <f t="shared" si="8"/>
        <v>00000000100101011011</v>
      </c>
      <c r="N20" s="1" t="b">
        <f t="shared" si="9"/>
        <v>0</v>
      </c>
      <c r="O20" s="1">
        <f t="shared" si="10"/>
        <v>2395</v>
      </c>
    </row>
    <row r="21" spans="1:15" x14ac:dyDescent="0.25">
      <c r="A21" s="1">
        <v>1919</v>
      </c>
      <c r="B21" s="2" t="s">
        <v>18</v>
      </c>
      <c r="D21" s="1" t="b">
        <f t="shared" si="0"/>
        <v>0</v>
      </c>
      <c r="E21" s="1" t="str">
        <f t="shared" si="1"/>
        <v>00000000000000000000</v>
      </c>
      <c r="F21" s="1" t="str">
        <f t="shared" si="2"/>
        <v>0111</v>
      </c>
      <c r="G21" s="1" t="str">
        <f t="shared" si="3"/>
        <v>010010010111</v>
      </c>
      <c r="H21" s="1">
        <f t="shared" si="4"/>
        <v>1</v>
      </c>
      <c r="I21" s="1" t="str">
        <f t="shared" si="5"/>
        <v>0100100110111</v>
      </c>
      <c r="J21" s="1">
        <f t="shared" si="6"/>
        <v>7</v>
      </c>
      <c r="K21" s="1" t="str">
        <f t="shared" si="7"/>
        <v>0000100100110111</v>
      </c>
      <c r="M21" s="1" t="str">
        <f t="shared" si="8"/>
        <v>01110000100100110111</v>
      </c>
      <c r="N21" s="1" t="b">
        <f t="shared" si="9"/>
        <v>0</v>
      </c>
      <c r="O21" s="1">
        <f t="shared" si="10"/>
        <v>461111</v>
      </c>
    </row>
    <row r="22" spans="1:15" x14ac:dyDescent="0.25">
      <c r="A22" s="1">
        <v>1920</v>
      </c>
      <c r="B22" s="2" t="s">
        <v>19</v>
      </c>
      <c r="D22" s="1" t="b">
        <f t="shared" si="0"/>
        <v>0</v>
      </c>
      <c r="E22" s="1" t="str">
        <f t="shared" si="1"/>
        <v>00000000000000000000</v>
      </c>
      <c r="F22" s="1" t="str">
        <f t="shared" si="2"/>
        <v>0000</v>
      </c>
      <c r="G22" s="1" t="str">
        <f t="shared" si="3"/>
        <v>010010010111</v>
      </c>
      <c r="H22" s="1">
        <f t="shared" si="4"/>
        <v>0</v>
      </c>
      <c r="I22" s="1" t="str">
        <f t="shared" si="5"/>
        <v>0010010010111</v>
      </c>
      <c r="J22" s="1">
        <f t="shared" si="6"/>
        <v>0</v>
      </c>
      <c r="K22" s="1" t="str">
        <f t="shared" si="7"/>
        <v>0000010010010111</v>
      </c>
      <c r="M22" s="1" t="str">
        <f t="shared" si="8"/>
        <v>00000000010010010111</v>
      </c>
      <c r="N22" s="1" t="b">
        <f t="shared" si="9"/>
        <v>0</v>
      </c>
      <c r="O22" s="1">
        <f t="shared" si="10"/>
        <v>1175</v>
      </c>
    </row>
    <row r="23" spans="1:15" x14ac:dyDescent="0.25">
      <c r="A23" s="1">
        <v>1921</v>
      </c>
      <c r="B23" s="2" t="s">
        <v>20</v>
      </c>
      <c r="C23" s="4" t="s">
        <v>153</v>
      </c>
      <c r="D23" s="1" t="b">
        <f>C23&amp;"0000" = B23</f>
        <v>1</v>
      </c>
      <c r="E23" s="1" t="str">
        <f t="shared" si="1"/>
        <v>00000000101001001011</v>
      </c>
      <c r="F23" s="1" t="str">
        <f t="shared" si="2"/>
        <v>0000</v>
      </c>
      <c r="G23" s="1" t="str">
        <f t="shared" si="3"/>
        <v>101001001011</v>
      </c>
      <c r="H23" s="1">
        <f t="shared" si="4"/>
        <v>0</v>
      </c>
      <c r="I23" s="1" t="str">
        <f t="shared" si="5"/>
        <v>0101001001011</v>
      </c>
      <c r="J23" s="1">
        <f t="shared" si="6"/>
        <v>0</v>
      </c>
      <c r="K23" s="1" t="str">
        <f t="shared" si="7"/>
        <v>0000101001001011</v>
      </c>
      <c r="M23" s="1" t="str">
        <f t="shared" si="8"/>
        <v>00000000101001001011</v>
      </c>
      <c r="N23" s="1" t="b">
        <f t="shared" si="9"/>
        <v>1</v>
      </c>
      <c r="O23" s="1">
        <f t="shared" si="10"/>
        <v>2635</v>
      </c>
    </row>
    <row r="24" spans="1:15" x14ac:dyDescent="0.25">
      <c r="A24" s="1">
        <v>1922</v>
      </c>
      <c r="B24" s="2" t="s">
        <v>21</v>
      </c>
      <c r="C24" s="4" t="s">
        <v>154</v>
      </c>
      <c r="D24" s="1" t="b">
        <f t="shared" ref="D24:D87" si="11">C24&amp;"0000" = B24</f>
        <v>0</v>
      </c>
      <c r="E24" s="1" t="str">
        <f t="shared" si="1"/>
        <v>01010001011001001011</v>
      </c>
      <c r="F24" s="1" t="str">
        <f t="shared" si="2"/>
        <v>0101</v>
      </c>
      <c r="G24" s="1" t="str">
        <f t="shared" si="3"/>
        <v>101101001011</v>
      </c>
      <c r="H24" s="1">
        <f t="shared" si="4"/>
        <v>0</v>
      </c>
      <c r="I24" s="1" t="str">
        <f t="shared" si="5"/>
        <v>1011001001011</v>
      </c>
      <c r="J24" s="1">
        <f t="shared" si="6"/>
        <v>5</v>
      </c>
      <c r="K24" s="1" t="str">
        <f t="shared" si="7"/>
        <v>0001011001001011</v>
      </c>
      <c r="M24" s="1" t="str">
        <f t="shared" si="8"/>
        <v>01010001011001001011</v>
      </c>
      <c r="N24" s="1" t="b">
        <f t="shared" si="9"/>
        <v>1</v>
      </c>
      <c r="O24" s="1">
        <f t="shared" si="10"/>
        <v>333387</v>
      </c>
    </row>
    <row r="25" spans="1:15" x14ac:dyDescent="0.25">
      <c r="A25" s="1">
        <v>1923</v>
      </c>
      <c r="B25" s="2" t="s">
        <v>22</v>
      </c>
      <c r="C25" s="4" t="s">
        <v>155</v>
      </c>
      <c r="D25" s="1" t="b">
        <f t="shared" si="11"/>
        <v>1</v>
      </c>
      <c r="E25" s="1" t="str">
        <f t="shared" si="1"/>
        <v>00000000011010100101</v>
      </c>
      <c r="F25" s="1" t="str">
        <f t="shared" si="2"/>
        <v>0000</v>
      </c>
      <c r="G25" s="1" t="str">
        <f t="shared" si="3"/>
        <v>011010100101</v>
      </c>
      <c r="H25" s="1">
        <f t="shared" si="4"/>
        <v>0</v>
      </c>
      <c r="I25" s="1" t="str">
        <f t="shared" si="5"/>
        <v>0011010100101</v>
      </c>
      <c r="J25" s="1">
        <f t="shared" si="6"/>
        <v>0</v>
      </c>
      <c r="K25" s="1" t="str">
        <f t="shared" si="7"/>
        <v>0000011010100101</v>
      </c>
      <c r="M25" s="1" t="str">
        <f t="shared" si="8"/>
        <v>00000000011010100101</v>
      </c>
      <c r="N25" s="1" t="b">
        <f t="shared" si="9"/>
        <v>1</v>
      </c>
      <c r="O25" s="1">
        <f t="shared" si="10"/>
        <v>1701</v>
      </c>
    </row>
    <row r="26" spans="1:15" x14ac:dyDescent="0.25">
      <c r="A26" s="1">
        <v>1924</v>
      </c>
      <c r="B26" s="2" t="s">
        <v>23</v>
      </c>
      <c r="C26" s="4" t="s">
        <v>156</v>
      </c>
      <c r="D26" s="1" t="b">
        <f t="shared" si="11"/>
        <v>1</v>
      </c>
      <c r="E26" s="1" t="str">
        <f t="shared" si="1"/>
        <v>00000000011011010100</v>
      </c>
      <c r="F26" s="1" t="str">
        <f t="shared" si="2"/>
        <v>0000</v>
      </c>
      <c r="G26" s="1" t="str">
        <f t="shared" si="3"/>
        <v>011011010100</v>
      </c>
      <c r="H26" s="1">
        <f t="shared" si="4"/>
        <v>0</v>
      </c>
      <c r="I26" s="1" t="str">
        <f t="shared" si="5"/>
        <v>0011011010100</v>
      </c>
      <c r="J26" s="1">
        <f t="shared" si="6"/>
        <v>0</v>
      </c>
      <c r="K26" s="1" t="str">
        <f t="shared" si="7"/>
        <v>0000011011010100</v>
      </c>
      <c r="M26" s="1" t="str">
        <f t="shared" si="8"/>
        <v>00000000011011010100</v>
      </c>
      <c r="N26" s="1" t="b">
        <f t="shared" si="9"/>
        <v>1</v>
      </c>
      <c r="O26" s="1">
        <f t="shared" si="10"/>
        <v>1748</v>
      </c>
    </row>
    <row r="27" spans="1:15" x14ac:dyDescent="0.25">
      <c r="A27" s="1">
        <v>1925</v>
      </c>
      <c r="B27" s="2" t="s">
        <v>24</v>
      </c>
      <c r="C27" s="4" t="s">
        <v>157</v>
      </c>
      <c r="D27" s="1" t="b">
        <f t="shared" si="11"/>
        <v>0</v>
      </c>
      <c r="E27" s="1" t="str">
        <f t="shared" si="1"/>
        <v>01000001010110110101</v>
      </c>
      <c r="F27" s="1" t="str">
        <f t="shared" si="2"/>
        <v>0100</v>
      </c>
      <c r="G27" s="1" t="str">
        <f t="shared" si="3"/>
        <v>101010110101</v>
      </c>
      <c r="H27" s="1">
        <f t="shared" si="4"/>
        <v>1</v>
      </c>
      <c r="I27" s="1" t="str">
        <f t="shared" si="5"/>
        <v>1010110110101</v>
      </c>
      <c r="J27" s="1">
        <f t="shared" si="6"/>
        <v>4</v>
      </c>
      <c r="K27" s="1" t="str">
        <f t="shared" si="7"/>
        <v>0001010110110101</v>
      </c>
      <c r="M27" s="1" t="str">
        <f t="shared" si="8"/>
        <v>01000001010110110101</v>
      </c>
      <c r="N27" s="1" t="b">
        <f t="shared" si="9"/>
        <v>1</v>
      </c>
      <c r="O27" s="1">
        <f t="shared" si="10"/>
        <v>267701</v>
      </c>
    </row>
    <row r="28" spans="1:15" x14ac:dyDescent="0.25">
      <c r="A28" s="1">
        <v>1926</v>
      </c>
      <c r="B28" s="2" t="s">
        <v>25</v>
      </c>
      <c r="C28" s="4" t="s">
        <v>158</v>
      </c>
      <c r="D28" s="1" t="b">
        <f t="shared" si="11"/>
        <v>0</v>
      </c>
      <c r="E28" s="1" t="str">
        <f t="shared" si="1"/>
        <v>00000000001010110110</v>
      </c>
      <c r="F28" s="1" t="str">
        <f t="shared" si="2"/>
        <v>0000</v>
      </c>
      <c r="G28" s="1" t="str">
        <f t="shared" si="3"/>
        <v>001010110110</v>
      </c>
      <c r="H28" s="1">
        <f t="shared" si="4"/>
        <v>0</v>
      </c>
      <c r="I28" s="1" t="str">
        <f t="shared" si="5"/>
        <v>0001010110110</v>
      </c>
      <c r="J28" s="1">
        <f t="shared" si="6"/>
        <v>0</v>
      </c>
      <c r="K28" s="1" t="str">
        <f t="shared" si="7"/>
        <v>0000001010110110</v>
      </c>
      <c r="M28" s="1" t="str">
        <f t="shared" si="8"/>
        <v>00000000001010110110</v>
      </c>
      <c r="N28" s="1" t="b">
        <f t="shared" si="9"/>
        <v>1</v>
      </c>
      <c r="O28" s="1">
        <f t="shared" si="10"/>
        <v>694</v>
      </c>
    </row>
    <row r="29" spans="1:15" x14ac:dyDescent="0.25">
      <c r="A29" s="1">
        <v>1927</v>
      </c>
      <c r="B29" s="2" t="s">
        <v>26</v>
      </c>
      <c r="C29" s="4" t="s">
        <v>159</v>
      </c>
      <c r="D29" s="1" t="b">
        <f t="shared" si="11"/>
        <v>1</v>
      </c>
      <c r="E29" s="1" t="str">
        <f t="shared" si="1"/>
        <v>00000000100101010111</v>
      </c>
      <c r="F29" s="1" t="str">
        <f t="shared" si="2"/>
        <v>0000</v>
      </c>
      <c r="G29" s="1" t="str">
        <f t="shared" si="3"/>
        <v>100101010111</v>
      </c>
      <c r="H29" s="1">
        <f t="shared" si="4"/>
        <v>0</v>
      </c>
      <c r="I29" s="1" t="str">
        <f t="shared" si="5"/>
        <v>0100101010111</v>
      </c>
      <c r="J29" s="1">
        <f t="shared" si="6"/>
        <v>0</v>
      </c>
      <c r="K29" s="1" t="str">
        <f t="shared" si="7"/>
        <v>0000100101010111</v>
      </c>
      <c r="M29" s="1" t="str">
        <f t="shared" si="8"/>
        <v>00000000100101010111</v>
      </c>
      <c r="N29" s="1" t="b">
        <f t="shared" si="9"/>
        <v>1</v>
      </c>
      <c r="O29" s="1">
        <f t="shared" si="10"/>
        <v>2391</v>
      </c>
    </row>
    <row r="30" spans="1:15" x14ac:dyDescent="0.25">
      <c r="A30" s="1">
        <v>1928</v>
      </c>
      <c r="B30" s="2" t="s">
        <v>27</v>
      </c>
      <c r="C30" s="4" t="s">
        <v>160</v>
      </c>
      <c r="D30" s="1" t="b">
        <f t="shared" si="11"/>
        <v>0</v>
      </c>
      <c r="E30" s="1" t="str">
        <f t="shared" si="1"/>
        <v>00100000100100101111</v>
      </c>
      <c r="F30" s="1" t="str">
        <f t="shared" si="2"/>
        <v>0010</v>
      </c>
      <c r="G30" s="1" t="str">
        <f t="shared" si="3"/>
        <v>010100101111</v>
      </c>
      <c r="H30" s="1">
        <f t="shared" si="4"/>
        <v>0</v>
      </c>
      <c r="I30" s="1" t="str">
        <f t="shared" si="5"/>
        <v>0100100101111</v>
      </c>
      <c r="J30" s="1">
        <f t="shared" si="6"/>
        <v>2</v>
      </c>
      <c r="K30" s="1" t="str">
        <f t="shared" si="7"/>
        <v>0000100100101111</v>
      </c>
      <c r="M30" s="1" t="str">
        <f t="shared" si="8"/>
        <v>00100000100100101111</v>
      </c>
      <c r="N30" s="1" t="b">
        <f t="shared" si="9"/>
        <v>1</v>
      </c>
      <c r="O30" s="1">
        <f t="shared" si="10"/>
        <v>133423</v>
      </c>
    </row>
    <row r="31" spans="1:15" x14ac:dyDescent="0.25">
      <c r="A31" s="1">
        <v>1929</v>
      </c>
      <c r="B31" s="2" t="s">
        <v>28</v>
      </c>
      <c r="C31" s="4" t="s">
        <v>161</v>
      </c>
      <c r="D31" s="1" t="b">
        <f t="shared" si="11"/>
        <v>1</v>
      </c>
      <c r="E31" s="1" t="str">
        <f t="shared" si="1"/>
        <v>00000000010010010111</v>
      </c>
      <c r="F31" s="1" t="str">
        <f t="shared" si="2"/>
        <v>0000</v>
      </c>
      <c r="G31" s="1" t="str">
        <f t="shared" si="3"/>
        <v>010010010111</v>
      </c>
      <c r="H31" s="1">
        <f t="shared" si="4"/>
        <v>0</v>
      </c>
      <c r="I31" s="1" t="str">
        <f t="shared" si="5"/>
        <v>0010010010111</v>
      </c>
      <c r="J31" s="1">
        <f t="shared" si="6"/>
        <v>0</v>
      </c>
      <c r="K31" s="1" t="str">
        <f t="shared" si="7"/>
        <v>0000010010010111</v>
      </c>
      <c r="M31" s="1" t="str">
        <f t="shared" si="8"/>
        <v>00000000010010010111</v>
      </c>
      <c r="N31" s="1" t="b">
        <f t="shared" si="9"/>
        <v>1</v>
      </c>
      <c r="O31" s="1">
        <f t="shared" si="10"/>
        <v>1175</v>
      </c>
    </row>
    <row r="32" spans="1:15" x14ac:dyDescent="0.25">
      <c r="A32" s="1">
        <v>1930</v>
      </c>
      <c r="B32" s="2" t="s">
        <v>29</v>
      </c>
      <c r="C32" s="4" t="s">
        <v>162</v>
      </c>
      <c r="D32" s="1" t="b">
        <f t="shared" si="11"/>
        <v>0</v>
      </c>
      <c r="E32" s="1" t="str">
        <f t="shared" si="1"/>
        <v>01100000110010010110</v>
      </c>
      <c r="F32" s="1" t="str">
        <f t="shared" si="2"/>
        <v>0110</v>
      </c>
      <c r="G32" s="1" t="str">
        <f t="shared" si="3"/>
        <v>011001010110</v>
      </c>
      <c r="H32" s="1">
        <f t="shared" si="4"/>
        <v>0</v>
      </c>
      <c r="I32" s="1" t="str">
        <f t="shared" si="5"/>
        <v>0110010010110</v>
      </c>
      <c r="J32" s="1">
        <f t="shared" si="6"/>
        <v>6</v>
      </c>
      <c r="K32" s="1" t="str">
        <f t="shared" si="7"/>
        <v>0000110010010110</v>
      </c>
      <c r="M32" s="1" t="str">
        <f t="shared" si="8"/>
        <v>01100000110010010110</v>
      </c>
      <c r="N32" s="1" t="b">
        <f t="shared" si="9"/>
        <v>1</v>
      </c>
      <c r="O32" s="1">
        <f t="shared" si="10"/>
        <v>396438</v>
      </c>
    </row>
    <row r="33" spans="1:15" x14ac:dyDescent="0.25">
      <c r="A33" s="1">
        <v>1931</v>
      </c>
      <c r="B33" s="2" t="s">
        <v>30</v>
      </c>
      <c r="C33" s="4" t="s">
        <v>163</v>
      </c>
      <c r="D33" s="1" t="b">
        <f t="shared" si="11"/>
        <v>1</v>
      </c>
      <c r="E33" s="1" t="str">
        <f t="shared" si="1"/>
        <v>00000000110101001010</v>
      </c>
      <c r="F33" s="1" t="str">
        <f t="shared" si="2"/>
        <v>0000</v>
      </c>
      <c r="G33" s="1" t="str">
        <f t="shared" si="3"/>
        <v>110101001010</v>
      </c>
      <c r="H33" s="1">
        <f t="shared" si="4"/>
        <v>0</v>
      </c>
      <c r="I33" s="1" t="str">
        <f t="shared" si="5"/>
        <v>0110101001010</v>
      </c>
      <c r="J33" s="1">
        <f t="shared" si="6"/>
        <v>0</v>
      </c>
      <c r="K33" s="1" t="str">
        <f t="shared" si="7"/>
        <v>0000110101001010</v>
      </c>
      <c r="M33" s="1" t="str">
        <f t="shared" si="8"/>
        <v>00000000110101001010</v>
      </c>
      <c r="N33" s="1" t="b">
        <f t="shared" si="9"/>
        <v>1</v>
      </c>
      <c r="O33" s="1">
        <f t="shared" si="10"/>
        <v>3402</v>
      </c>
    </row>
    <row r="34" spans="1:15" x14ac:dyDescent="0.25">
      <c r="A34" s="1">
        <v>1932</v>
      </c>
      <c r="B34" s="2" t="s">
        <v>31</v>
      </c>
      <c r="C34" s="4" t="s">
        <v>164</v>
      </c>
      <c r="D34" s="1" t="b">
        <f t="shared" si="11"/>
        <v>1</v>
      </c>
      <c r="E34" s="1" t="str">
        <f t="shared" si="1"/>
        <v>00000000111010100101</v>
      </c>
      <c r="F34" s="1" t="str">
        <f t="shared" si="2"/>
        <v>0000</v>
      </c>
      <c r="G34" s="1" t="str">
        <f t="shared" si="3"/>
        <v>111010100101</v>
      </c>
      <c r="H34" s="1">
        <f t="shared" si="4"/>
        <v>0</v>
      </c>
      <c r="I34" s="1" t="str">
        <f t="shared" si="5"/>
        <v>0111010100101</v>
      </c>
      <c r="J34" s="1">
        <f t="shared" si="6"/>
        <v>0</v>
      </c>
      <c r="K34" s="1" t="str">
        <f t="shared" si="7"/>
        <v>0000111010100101</v>
      </c>
      <c r="M34" s="1" t="str">
        <f t="shared" si="8"/>
        <v>00000000111010100101</v>
      </c>
      <c r="N34" s="1" t="b">
        <f t="shared" si="9"/>
        <v>1</v>
      </c>
      <c r="O34" s="1">
        <f t="shared" si="10"/>
        <v>3749</v>
      </c>
    </row>
    <row r="35" spans="1:15" x14ac:dyDescent="0.25">
      <c r="A35" s="1">
        <v>1933</v>
      </c>
      <c r="B35" s="2" t="s">
        <v>32</v>
      </c>
      <c r="C35" s="4" t="s">
        <v>165</v>
      </c>
      <c r="D35" s="1" t="b">
        <f t="shared" si="11"/>
        <v>0</v>
      </c>
      <c r="E35" s="1" t="str">
        <f t="shared" si="1"/>
        <v>01010000110110101001</v>
      </c>
      <c r="F35" s="1" t="str">
        <f t="shared" si="2"/>
        <v>0101</v>
      </c>
      <c r="G35" s="1" t="str">
        <f t="shared" si="3"/>
        <v>011010101001</v>
      </c>
      <c r="H35" s="1">
        <f t="shared" si="4"/>
        <v>1</v>
      </c>
      <c r="I35" s="1" t="str">
        <f t="shared" si="5"/>
        <v>0110110101001</v>
      </c>
      <c r="J35" s="1">
        <f t="shared" si="6"/>
        <v>5</v>
      </c>
      <c r="K35" s="1" t="str">
        <f t="shared" si="7"/>
        <v>0000110110101001</v>
      </c>
      <c r="M35" s="1" t="str">
        <f t="shared" si="8"/>
        <v>01010000110110101001</v>
      </c>
      <c r="N35" s="1" t="b">
        <f t="shared" si="9"/>
        <v>1</v>
      </c>
      <c r="O35" s="1">
        <f t="shared" si="10"/>
        <v>331177</v>
      </c>
    </row>
    <row r="36" spans="1:15" x14ac:dyDescent="0.25">
      <c r="A36" s="1">
        <v>1934</v>
      </c>
      <c r="B36" s="2" t="s">
        <v>33</v>
      </c>
      <c r="C36" s="4" t="s">
        <v>166</v>
      </c>
      <c r="D36" s="1" t="b">
        <f t="shared" si="11"/>
        <v>0</v>
      </c>
      <c r="E36" s="1" t="str">
        <f t="shared" si="1"/>
        <v>00000000010110101101</v>
      </c>
      <c r="F36" s="1" t="str">
        <f t="shared" si="2"/>
        <v>0000</v>
      </c>
      <c r="G36" s="1" t="str">
        <f t="shared" si="3"/>
        <v>010110101101</v>
      </c>
      <c r="H36" s="1">
        <f t="shared" si="4"/>
        <v>0</v>
      </c>
      <c r="I36" s="1" t="str">
        <f t="shared" si="5"/>
        <v>0010110101101</v>
      </c>
      <c r="J36" s="1">
        <f t="shared" si="6"/>
        <v>0</v>
      </c>
      <c r="K36" s="1" t="str">
        <f t="shared" si="7"/>
        <v>0000010110101101</v>
      </c>
      <c r="M36" s="1" t="str">
        <f t="shared" si="8"/>
        <v>00000000010110101101</v>
      </c>
      <c r="N36" s="1" t="b">
        <f t="shared" si="9"/>
        <v>1</v>
      </c>
      <c r="O36" s="1">
        <f t="shared" si="10"/>
        <v>1453</v>
      </c>
    </row>
    <row r="37" spans="1:15" x14ac:dyDescent="0.25">
      <c r="A37" s="1">
        <v>1935</v>
      </c>
      <c r="B37" s="2" t="s">
        <v>34</v>
      </c>
      <c r="C37" s="4" t="s">
        <v>158</v>
      </c>
      <c r="D37" s="1" t="b">
        <f t="shared" si="11"/>
        <v>1</v>
      </c>
      <c r="E37" s="1" t="str">
        <f t="shared" si="1"/>
        <v>00000000001010110110</v>
      </c>
      <c r="F37" s="1" t="str">
        <f t="shared" si="2"/>
        <v>0000</v>
      </c>
      <c r="G37" s="1" t="str">
        <f t="shared" si="3"/>
        <v>001010110110</v>
      </c>
      <c r="H37" s="1">
        <f t="shared" si="4"/>
        <v>0</v>
      </c>
      <c r="I37" s="1" t="str">
        <f t="shared" si="5"/>
        <v>0001010110110</v>
      </c>
      <c r="J37" s="1">
        <f t="shared" si="6"/>
        <v>0</v>
      </c>
      <c r="K37" s="1" t="str">
        <f t="shared" si="7"/>
        <v>0000001010110110</v>
      </c>
      <c r="M37" s="1" t="str">
        <f t="shared" si="8"/>
        <v>00000000001010110110</v>
      </c>
      <c r="N37" s="1" t="b">
        <f t="shared" si="9"/>
        <v>1</v>
      </c>
      <c r="O37" s="1">
        <f t="shared" si="10"/>
        <v>694</v>
      </c>
    </row>
    <row r="38" spans="1:15" x14ac:dyDescent="0.25">
      <c r="A38" s="1">
        <v>1936</v>
      </c>
      <c r="B38" s="2" t="s">
        <v>35</v>
      </c>
      <c r="C38" s="4" t="s">
        <v>167</v>
      </c>
      <c r="D38" s="1" t="b">
        <f t="shared" si="11"/>
        <v>0</v>
      </c>
      <c r="E38" s="1" t="str">
        <f t="shared" si="1"/>
        <v>00110001001001101110</v>
      </c>
      <c r="F38" s="1" t="str">
        <f t="shared" si="2"/>
        <v>0011</v>
      </c>
      <c r="G38" s="1" t="str">
        <f t="shared" si="3"/>
        <v>100001101110</v>
      </c>
      <c r="H38" s="1">
        <f t="shared" si="4"/>
        <v>1</v>
      </c>
      <c r="I38" s="1" t="str">
        <f t="shared" si="5"/>
        <v>1001001101110</v>
      </c>
      <c r="J38" s="1">
        <f t="shared" si="6"/>
        <v>3</v>
      </c>
      <c r="K38" s="1" t="str">
        <f t="shared" si="7"/>
        <v>0001001001101110</v>
      </c>
      <c r="M38" s="1" t="str">
        <f t="shared" si="8"/>
        <v>00110001001001101110</v>
      </c>
      <c r="N38" s="1" t="b">
        <f t="shared" si="9"/>
        <v>1</v>
      </c>
      <c r="O38" s="1">
        <f t="shared" si="10"/>
        <v>201326</v>
      </c>
    </row>
    <row r="39" spans="1:15" x14ac:dyDescent="0.25">
      <c r="A39" s="1">
        <v>1937</v>
      </c>
      <c r="B39" s="2" t="s">
        <v>36</v>
      </c>
      <c r="C39" s="4" t="s">
        <v>168</v>
      </c>
      <c r="D39" s="1" t="b">
        <f t="shared" si="11"/>
        <v>0</v>
      </c>
      <c r="E39" s="1" t="str">
        <f t="shared" si="1"/>
        <v>00000000100100101110</v>
      </c>
      <c r="F39" s="1" t="str">
        <f t="shared" si="2"/>
        <v>0000</v>
      </c>
      <c r="G39" s="1" t="str">
        <f t="shared" si="3"/>
        <v>100100101110</v>
      </c>
      <c r="H39" s="1">
        <f t="shared" si="4"/>
        <v>0</v>
      </c>
      <c r="I39" s="1" t="str">
        <f t="shared" si="5"/>
        <v>0100100101110</v>
      </c>
      <c r="J39" s="1">
        <f t="shared" si="6"/>
        <v>0</v>
      </c>
      <c r="K39" s="1" t="str">
        <f t="shared" si="7"/>
        <v>0000100100101110</v>
      </c>
      <c r="M39" s="1" t="str">
        <f t="shared" si="8"/>
        <v>00000000100100101110</v>
      </c>
      <c r="N39" s="1" t="b">
        <f t="shared" si="9"/>
        <v>1</v>
      </c>
      <c r="O39" s="1">
        <f t="shared" si="10"/>
        <v>2350</v>
      </c>
    </row>
    <row r="40" spans="1:15" x14ac:dyDescent="0.25">
      <c r="A40" s="1">
        <v>1938</v>
      </c>
      <c r="B40" s="2" t="s">
        <v>37</v>
      </c>
      <c r="C40" s="4" t="s">
        <v>169</v>
      </c>
      <c r="D40" s="1" t="b">
        <f t="shared" si="11"/>
        <v>0</v>
      </c>
      <c r="E40" s="1" t="str">
        <f t="shared" si="1"/>
        <v>01110001100100101101</v>
      </c>
      <c r="F40" s="1" t="str">
        <f t="shared" si="2"/>
        <v>0111</v>
      </c>
      <c r="G40" s="1" t="str">
        <f t="shared" si="3"/>
        <v>110010001101</v>
      </c>
      <c r="H40" s="1">
        <f t="shared" si="4"/>
        <v>1</v>
      </c>
      <c r="I40" s="1" t="str">
        <f t="shared" si="5"/>
        <v>1100100101101</v>
      </c>
      <c r="J40" s="1">
        <f t="shared" si="6"/>
        <v>7</v>
      </c>
      <c r="K40" s="1" t="str">
        <f t="shared" si="7"/>
        <v>0001100100101101</v>
      </c>
      <c r="M40" s="1" t="str">
        <f t="shared" si="8"/>
        <v>01110001100100101101</v>
      </c>
      <c r="N40" s="1" t="b">
        <f t="shared" si="9"/>
        <v>1</v>
      </c>
      <c r="O40" s="1">
        <f t="shared" si="10"/>
        <v>465197</v>
      </c>
    </row>
    <row r="41" spans="1:15" x14ac:dyDescent="0.25">
      <c r="A41" s="1">
        <v>1939</v>
      </c>
      <c r="B41" s="2" t="s">
        <v>38</v>
      </c>
      <c r="C41" s="4" t="s">
        <v>170</v>
      </c>
      <c r="D41" s="1" t="b">
        <f t="shared" si="11"/>
        <v>0</v>
      </c>
      <c r="E41" s="1" t="str">
        <f t="shared" si="1"/>
        <v>00000000110010010101</v>
      </c>
      <c r="F41" s="1" t="str">
        <f t="shared" si="2"/>
        <v>0000</v>
      </c>
      <c r="G41" s="1" t="str">
        <f t="shared" si="3"/>
        <v>110010010101</v>
      </c>
      <c r="H41" s="1">
        <f t="shared" si="4"/>
        <v>0</v>
      </c>
      <c r="I41" s="1" t="str">
        <f t="shared" si="5"/>
        <v>0110010010101</v>
      </c>
      <c r="J41" s="1">
        <f t="shared" si="6"/>
        <v>0</v>
      </c>
      <c r="K41" s="1" t="str">
        <f t="shared" si="7"/>
        <v>0000110010010101</v>
      </c>
      <c r="M41" s="1" t="str">
        <f t="shared" si="8"/>
        <v>00000000110010010101</v>
      </c>
      <c r="N41" s="1" t="b">
        <f t="shared" si="9"/>
        <v>1</v>
      </c>
      <c r="O41" s="1">
        <f t="shared" si="10"/>
        <v>3221</v>
      </c>
    </row>
    <row r="42" spans="1:15" x14ac:dyDescent="0.25">
      <c r="A42" s="1">
        <v>1940</v>
      </c>
      <c r="B42" s="2" t="s">
        <v>30</v>
      </c>
      <c r="C42" s="4" t="s">
        <v>163</v>
      </c>
      <c r="D42" s="1" t="b">
        <f t="shared" si="11"/>
        <v>1</v>
      </c>
      <c r="E42" s="1" t="str">
        <f t="shared" si="1"/>
        <v>00000000110101001010</v>
      </c>
      <c r="F42" s="1" t="str">
        <f t="shared" si="2"/>
        <v>0000</v>
      </c>
      <c r="G42" s="1" t="str">
        <f t="shared" si="3"/>
        <v>110101001010</v>
      </c>
      <c r="H42" s="1">
        <f t="shared" si="4"/>
        <v>0</v>
      </c>
      <c r="I42" s="1" t="str">
        <f t="shared" si="5"/>
        <v>0110101001010</v>
      </c>
      <c r="J42" s="1">
        <f t="shared" si="6"/>
        <v>0</v>
      </c>
      <c r="K42" s="1" t="str">
        <f t="shared" si="7"/>
        <v>0000110101001010</v>
      </c>
      <c r="M42" s="1" t="str">
        <f t="shared" si="8"/>
        <v>00000000110101001010</v>
      </c>
      <c r="N42" s="1" t="b">
        <f t="shared" si="9"/>
        <v>1</v>
      </c>
      <c r="O42" s="1">
        <f t="shared" si="10"/>
        <v>3402</v>
      </c>
    </row>
    <row r="43" spans="1:15" x14ac:dyDescent="0.25">
      <c r="A43" s="1">
        <v>1941</v>
      </c>
      <c r="B43" s="2" t="s">
        <v>39</v>
      </c>
      <c r="C43" s="4" t="s">
        <v>171</v>
      </c>
      <c r="D43" s="1" t="b">
        <f t="shared" si="11"/>
        <v>0</v>
      </c>
      <c r="E43" s="1" t="str">
        <f t="shared" si="1"/>
        <v>01100001101101001010</v>
      </c>
      <c r="F43" s="1" t="str">
        <f t="shared" si="2"/>
        <v>0110</v>
      </c>
      <c r="G43" s="1" t="str">
        <f t="shared" si="3"/>
        <v>110110001010</v>
      </c>
      <c r="H43" s="1">
        <f t="shared" si="4"/>
        <v>1</v>
      </c>
      <c r="I43" s="1" t="str">
        <f t="shared" si="5"/>
        <v>1101101001010</v>
      </c>
      <c r="J43" s="1">
        <f t="shared" si="6"/>
        <v>6</v>
      </c>
      <c r="K43" s="1" t="str">
        <f t="shared" si="7"/>
        <v>0001101101001010</v>
      </c>
      <c r="M43" s="1" t="str">
        <f t="shared" si="8"/>
        <v>01100001101101001010</v>
      </c>
      <c r="N43" s="1" t="b">
        <f t="shared" si="9"/>
        <v>1</v>
      </c>
      <c r="O43" s="1">
        <f t="shared" si="10"/>
        <v>400202</v>
      </c>
    </row>
    <row r="44" spans="1:15" x14ac:dyDescent="0.25">
      <c r="A44" s="1">
        <v>1942</v>
      </c>
      <c r="B44" s="2" t="s">
        <v>40</v>
      </c>
      <c r="C44" s="4" t="s">
        <v>172</v>
      </c>
      <c r="D44" s="1" t="b">
        <f t="shared" si="11"/>
        <v>0</v>
      </c>
      <c r="E44" s="1" t="str">
        <f t="shared" si="1"/>
        <v>00000000101101010101</v>
      </c>
      <c r="F44" s="1" t="str">
        <f t="shared" si="2"/>
        <v>0000</v>
      </c>
      <c r="G44" s="1" t="str">
        <f t="shared" si="3"/>
        <v>101101010101</v>
      </c>
      <c r="H44" s="1">
        <f t="shared" si="4"/>
        <v>0</v>
      </c>
      <c r="I44" s="1" t="str">
        <f t="shared" si="5"/>
        <v>0101101010101</v>
      </c>
      <c r="J44" s="1">
        <f t="shared" si="6"/>
        <v>0</v>
      </c>
      <c r="K44" s="1" t="str">
        <f t="shared" si="7"/>
        <v>0000101101010101</v>
      </c>
      <c r="M44" s="1" t="str">
        <f t="shared" si="8"/>
        <v>00000000101101010101</v>
      </c>
      <c r="N44" s="1" t="b">
        <f t="shared" si="9"/>
        <v>1</v>
      </c>
      <c r="O44" s="1">
        <f t="shared" si="10"/>
        <v>2901</v>
      </c>
    </row>
    <row r="45" spans="1:15" x14ac:dyDescent="0.25">
      <c r="A45" s="1">
        <v>1943</v>
      </c>
      <c r="B45" s="2" t="s">
        <v>41</v>
      </c>
      <c r="C45" s="4" t="s">
        <v>173</v>
      </c>
      <c r="D45" s="1" t="b">
        <f t="shared" si="11"/>
        <v>1</v>
      </c>
      <c r="E45" s="1" t="str">
        <f t="shared" si="1"/>
        <v>00000000010101101010</v>
      </c>
      <c r="F45" s="1" t="str">
        <f t="shared" si="2"/>
        <v>0000</v>
      </c>
      <c r="G45" s="1" t="str">
        <f t="shared" si="3"/>
        <v>010101101010</v>
      </c>
      <c r="H45" s="1">
        <f t="shared" si="4"/>
        <v>0</v>
      </c>
      <c r="I45" s="1" t="str">
        <f t="shared" si="5"/>
        <v>0010101101010</v>
      </c>
      <c r="J45" s="1">
        <f t="shared" si="6"/>
        <v>0</v>
      </c>
      <c r="K45" s="1" t="str">
        <f t="shared" si="7"/>
        <v>0000010101101010</v>
      </c>
      <c r="M45" s="1" t="str">
        <f t="shared" si="8"/>
        <v>00000000010101101010</v>
      </c>
      <c r="N45" s="1" t="b">
        <f t="shared" si="9"/>
        <v>1</v>
      </c>
      <c r="O45" s="1">
        <f t="shared" si="10"/>
        <v>1386</v>
      </c>
    </row>
    <row r="46" spans="1:15" x14ac:dyDescent="0.25">
      <c r="A46" s="1">
        <v>1944</v>
      </c>
      <c r="B46" s="2" t="s">
        <v>42</v>
      </c>
      <c r="C46" s="4" t="s">
        <v>174</v>
      </c>
      <c r="D46" s="1" t="b">
        <f t="shared" si="11"/>
        <v>0</v>
      </c>
      <c r="E46" s="1" t="str">
        <f t="shared" si="1"/>
        <v>01000001010101011011</v>
      </c>
      <c r="F46" s="1" t="str">
        <f t="shared" si="2"/>
        <v>0100</v>
      </c>
      <c r="G46" s="1" t="str">
        <f t="shared" si="3"/>
        <v>101001011011</v>
      </c>
      <c r="H46" s="1">
        <f t="shared" si="4"/>
        <v>1</v>
      </c>
      <c r="I46" s="1" t="str">
        <f t="shared" si="5"/>
        <v>1010101011011</v>
      </c>
      <c r="J46" s="1">
        <f t="shared" si="6"/>
        <v>4</v>
      </c>
      <c r="K46" s="1" t="str">
        <f t="shared" si="7"/>
        <v>0001010101011011</v>
      </c>
      <c r="M46" s="1" t="str">
        <f t="shared" si="8"/>
        <v>01000001010101011011</v>
      </c>
      <c r="N46" s="1" t="b">
        <f t="shared" si="9"/>
        <v>1</v>
      </c>
      <c r="O46" s="1">
        <f t="shared" si="10"/>
        <v>267611</v>
      </c>
    </row>
    <row r="47" spans="1:15" x14ac:dyDescent="0.25">
      <c r="A47" s="1">
        <v>1945</v>
      </c>
      <c r="B47" s="2" t="s">
        <v>43</v>
      </c>
      <c r="C47" s="4" t="s">
        <v>175</v>
      </c>
      <c r="D47" s="1" t="b">
        <f t="shared" si="11"/>
        <v>0</v>
      </c>
      <c r="E47" s="1" t="str">
        <f t="shared" si="1"/>
        <v>00000000001001011101</v>
      </c>
      <c r="F47" s="1" t="str">
        <f t="shared" si="2"/>
        <v>0000</v>
      </c>
      <c r="G47" s="1" t="str">
        <f t="shared" si="3"/>
        <v>001001011101</v>
      </c>
      <c r="H47" s="1">
        <f t="shared" si="4"/>
        <v>0</v>
      </c>
      <c r="I47" s="1" t="str">
        <f t="shared" si="5"/>
        <v>0001001011101</v>
      </c>
      <c r="J47" s="1">
        <f t="shared" si="6"/>
        <v>0</v>
      </c>
      <c r="K47" s="1" t="str">
        <f t="shared" si="7"/>
        <v>0000001001011101</v>
      </c>
      <c r="M47" s="1" t="str">
        <f t="shared" si="8"/>
        <v>00000000001001011101</v>
      </c>
      <c r="N47" s="1" t="b">
        <f t="shared" si="9"/>
        <v>1</v>
      </c>
      <c r="O47" s="1">
        <f t="shared" si="10"/>
        <v>605</v>
      </c>
    </row>
    <row r="48" spans="1:15" x14ac:dyDescent="0.25">
      <c r="A48" s="1">
        <v>1946</v>
      </c>
      <c r="B48" s="2" t="s">
        <v>44</v>
      </c>
      <c r="C48" s="4" t="s">
        <v>176</v>
      </c>
      <c r="D48" s="1" t="b">
        <f t="shared" si="11"/>
        <v>1</v>
      </c>
      <c r="E48" s="1" t="str">
        <f t="shared" si="1"/>
        <v>00000000100100101101</v>
      </c>
      <c r="F48" s="1" t="str">
        <f t="shared" si="2"/>
        <v>0000</v>
      </c>
      <c r="G48" s="1" t="str">
        <f t="shared" si="3"/>
        <v>100100101101</v>
      </c>
      <c r="H48" s="1">
        <f t="shared" si="4"/>
        <v>0</v>
      </c>
      <c r="I48" s="1" t="str">
        <f t="shared" si="5"/>
        <v>0100100101101</v>
      </c>
      <c r="J48" s="1">
        <f t="shared" si="6"/>
        <v>0</v>
      </c>
      <c r="K48" s="1" t="str">
        <f t="shared" si="7"/>
        <v>0000100100101101</v>
      </c>
      <c r="M48" s="1" t="str">
        <f t="shared" si="8"/>
        <v>00000000100100101101</v>
      </c>
      <c r="N48" s="1" t="b">
        <f t="shared" si="9"/>
        <v>1</v>
      </c>
      <c r="O48" s="1">
        <f t="shared" si="10"/>
        <v>2349</v>
      </c>
    </row>
    <row r="49" spans="1:15" x14ac:dyDescent="0.25">
      <c r="A49" s="1">
        <v>1947</v>
      </c>
      <c r="B49" s="2" t="s">
        <v>45</v>
      </c>
      <c r="C49" s="4" t="s">
        <v>177</v>
      </c>
      <c r="D49" s="1" t="b">
        <f t="shared" si="11"/>
        <v>0</v>
      </c>
      <c r="E49" s="1" t="str">
        <f t="shared" si="1"/>
        <v>00100001100100101011</v>
      </c>
      <c r="F49" s="1" t="str">
        <f t="shared" si="2"/>
        <v>0010</v>
      </c>
      <c r="G49" s="1" t="str">
        <f t="shared" si="3"/>
        <v>110100101011</v>
      </c>
      <c r="H49" s="1">
        <f t="shared" si="4"/>
        <v>0</v>
      </c>
      <c r="I49" s="1" t="str">
        <f t="shared" si="5"/>
        <v>1100100101011</v>
      </c>
      <c r="J49" s="1">
        <f t="shared" si="6"/>
        <v>2</v>
      </c>
      <c r="K49" s="1" t="str">
        <f t="shared" si="7"/>
        <v>0001100100101011</v>
      </c>
      <c r="M49" s="1" t="str">
        <f t="shared" si="8"/>
        <v>00100001100100101011</v>
      </c>
      <c r="N49" s="1" t="b">
        <f t="shared" si="9"/>
        <v>1</v>
      </c>
      <c r="O49" s="1">
        <f t="shared" si="10"/>
        <v>137515</v>
      </c>
    </row>
    <row r="50" spans="1:15" x14ac:dyDescent="0.25">
      <c r="A50" s="1">
        <v>1948</v>
      </c>
      <c r="B50" s="2" t="s">
        <v>46</v>
      </c>
      <c r="C50" s="4" t="s">
        <v>178</v>
      </c>
      <c r="D50" s="1" t="b">
        <f t="shared" si="11"/>
        <v>1</v>
      </c>
      <c r="E50" s="1" t="str">
        <f t="shared" si="1"/>
        <v>00000000101010010101</v>
      </c>
      <c r="F50" s="1" t="str">
        <f t="shared" si="2"/>
        <v>0000</v>
      </c>
      <c r="G50" s="1" t="str">
        <f t="shared" si="3"/>
        <v>101010010101</v>
      </c>
      <c r="H50" s="1">
        <f t="shared" si="4"/>
        <v>0</v>
      </c>
      <c r="I50" s="1" t="str">
        <f t="shared" si="5"/>
        <v>0101010010101</v>
      </c>
      <c r="J50" s="1">
        <f t="shared" si="6"/>
        <v>0</v>
      </c>
      <c r="K50" s="1" t="str">
        <f t="shared" si="7"/>
        <v>0000101010010101</v>
      </c>
      <c r="M50" s="1" t="str">
        <f t="shared" si="8"/>
        <v>00000000101010010101</v>
      </c>
      <c r="N50" s="1" t="b">
        <f t="shared" si="9"/>
        <v>1</v>
      </c>
      <c r="O50" s="1">
        <f t="shared" si="10"/>
        <v>2709</v>
      </c>
    </row>
    <row r="51" spans="1:15" x14ac:dyDescent="0.25">
      <c r="A51" s="1">
        <v>1949</v>
      </c>
      <c r="B51" s="2" t="s">
        <v>47</v>
      </c>
      <c r="C51" s="4" t="s">
        <v>179</v>
      </c>
      <c r="D51" s="1" t="b">
        <f t="shared" si="11"/>
        <v>0</v>
      </c>
      <c r="E51" s="1" t="str">
        <f t="shared" si="1"/>
        <v>01110001011010010101</v>
      </c>
      <c r="F51" s="1" t="str">
        <f t="shared" si="2"/>
        <v>0111</v>
      </c>
      <c r="G51" s="1" t="str">
        <f t="shared" si="3"/>
        <v>101101010101</v>
      </c>
      <c r="H51" s="1">
        <f t="shared" si="4"/>
        <v>0</v>
      </c>
      <c r="I51" s="1" t="str">
        <f t="shared" si="5"/>
        <v>1011010010101</v>
      </c>
      <c r="J51" s="1">
        <f t="shared" si="6"/>
        <v>7</v>
      </c>
      <c r="K51" s="1" t="str">
        <f t="shared" si="7"/>
        <v>0001011010010101</v>
      </c>
      <c r="M51" s="1" t="str">
        <f t="shared" si="8"/>
        <v>01110001011010010101</v>
      </c>
      <c r="N51" s="1" t="b">
        <f t="shared" si="9"/>
        <v>1</v>
      </c>
      <c r="O51" s="1">
        <f t="shared" si="10"/>
        <v>464533</v>
      </c>
    </row>
    <row r="52" spans="1:15" x14ac:dyDescent="0.25">
      <c r="A52" s="1">
        <v>1950</v>
      </c>
      <c r="B52" s="2" t="s">
        <v>48</v>
      </c>
      <c r="C52" s="4" t="s">
        <v>180</v>
      </c>
      <c r="D52" s="1" t="b">
        <f t="shared" si="11"/>
        <v>1</v>
      </c>
      <c r="E52" s="1" t="str">
        <f t="shared" si="1"/>
        <v>00000000011011001010</v>
      </c>
      <c r="F52" s="1" t="str">
        <f t="shared" si="2"/>
        <v>0000</v>
      </c>
      <c r="G52" s="1" t="str">
        <f t="shared" si="3"/>
        <v>011011001010</v>
      </c>
      <c r="H52" s="1">
        <f t="shared" si="4"/>
        <v>0</v>
      </c>
      <c r="I52" s="1" t="str">
        <f t="shared" si="5"/>
        <v>0011011001010</v>
      </c>
      <c r="J52" s="1">
        <f t="shared" si="6"/>
        <v>0</v>
      </c>
      <c r="K52" s="1" t="str">
        <f t="shared" si="7"/>
        <v>0000011011001010</v>
      </c>
      <c r="M52" s="1" t="str">
        <f t="shared" si="8"/>
        <v>00000000011011001010</v>
      </c>
      <c r="N52" s="1" t="b">
        <f t="shared" si="9"/>
        <v>1</v>
      </c>
      <c r="O52" s="1">
        <f t="shared" si="10"/>
        <v>1738</v>
      </c>
    </row>
    <row r="53" spans="1:15" x14ac:dyDescent="0.25">
      <c r="A53" s="1">
        <v>1951</v>
      </c>
      <c r="B53" s="2" t="s">
        <v>49</v>
      </c>
      <c r="C53" s="4" t="s">
        <v>172</v>
      </c>
      <c r="D53" s="1" t="b">
        <f t="shared" si="11"/>
        <v>1</v>
      </c>
      <c r="E53" s="1" t="str">
        <f t="shared" si="1"/>
        <v>00000000101101010101</v>
      </c>
      <c r="F53" s="1" t="str">
        <f t="shared" si="2"/>
        <v>0000</v>
      </c>
      <c r="G53" s="1" t="str">
        <f t="shared" si="3"/>
        <v>101101010101</v>
      </c>
      <c r="H53" s="1">
        <f t="shared" si="4"/>
        <v>0</v>
      </c>
      <c r="I53" s="1" t="str">
        <f t="shared" si="5"/>
        <v>0101101010101</v>
      </c>
      <c r="J53" s="1">
        <f t="shared" si="6"/>
        <v>0</v>
      </c>
      <c r="K53" s="1" t="str">
        <f t="shared" si="7"/>
        <v>0000101101010101</v>
      </c>
      <c r="M53" s="1" t="str">
        <f t="shared" si="8"/>
        <v>00000000101101010101</v>
      </c>
      <c r="N53" s="1" t="b">
        <f t="shared" si="9"/>
        <v>1</v>
      </c>
      <c r="O53" s="1">
        <f t="shared" si="10"/>
        <v>2901</v>
      </c>
    </row>
    <row r="54" spans="1:15" x14ac:dyDescent="0.25">
      <c r="A54" s="1">
        <v>1952</v>
      </c>
      <c r="B54" s="2" t="s">
        <v>50</v>
      </c>
      <c r="C54" s="4" t="s">
        <v>181</v>
      </c>
      <c r="D54" s="1" t="b">
        <f t="shared" si="11"/>
        <v>0</v>
      </c>
      <c r="E54" s="1" t="str">
        <f t="shared" si="1"/>
        <v>01010000101010110101</v>
      </c>
      <c r="F54" s="1" t="str">
        <f t="shared" si="2"/>
        <v>0101</v>
      </c>
      <c r="G54" s="1" t="str">
        <f t="shared" si="3"/>
        <v>010100110101</v>
      </c>
      <c r="H54" s="1">
        <f t="shared" si="4"/>
        <v>1</v>
      </c>
      <c r="I54" s="1" t="str">
        <f t="shared" si="5"/>
        <v>0101010110101</v>
      </c>
      <c r="J54" s="1">
        <f t="shared" si="6"/>
        <v>5</v>
      </c>
      <c r="K54" s="1" t="str">
        <f t="shared" si="7"/>
        <v>0000101010110101</v>
      </c>
      <c r="M54" s="1" t="str">
        <f t="shared" si="8"/>
        <v>01010000101010110101</v>
      </c>
      <c r="N54" s="1" t="b">
        <f t="shared" si="9"/>
        <v>1</v>
      </c>
      <c r="O54" s="1">
        <f t="shared" si="10"/>
        <v>330421</v>
      </c>
    </row>
    <row r="55" spans="1:15" x14ac:dyDescent="0.25">
      <c r="A55" s="1">
        <v>1953</v>
      </c>
      <c r="B55" s="2" t="s">
        <v>51</v>
      </c>
      <c r="C55" s="4" t="s">
        <v>182</v>
      </c>
      <c r="D55" s="1" t="b">
        <f t="shared" si="11"/>
        <v>0</v>
      </c>
      <c r="E55" s="1" t="str">
        <f t="shared" si="1"/>
        <v>00000000010011011010</v>
      </c>
      <c r="F55" s="1" t="str">
        <f t="shared" si="2"/>
        <v>0000</v>
      </c>
      <c r="G55" s="1" t="str">
        <f t="shared" si="3"/>
        <v>010011011010</v>
      </c>
      <c r="H55" s="1">
        <f t="shared" si="4"/>
        <v>0</v>
      </c>
      <c r="I55" s="1" t="str">
        <f t="shared" si="5"/>
        <v>0010011011010</v>
      </c>
      <c r="J55" s="1">
        <f t="shared" si="6"/>
        <v>0</v>
      </c>
      <c r="K55" s="1" t="str">
        <f t="shared" si="7"/>
        <v>0000010011011010</v>
      </c>
      <c r="M55" s="1" t="str">
        <f t="shared" si="8"/>
        <v>00000000010011011010</v>
      </c>
      <c r="N55" s="1" t="b">
        <f t="shared" si="9"/>
        <v>1</v>
      </c>
      <c r="O55" s="1">
        <f t="shared" si="10"/>
        <v>1242</v>
      </c>
    </row>
    <row r="56" spans="1:15" x14ac:dyDescent="0.25">
      <c r="A56" s="1">
        <v>1954</v>
      </c>
      <c r="B56" s="2" t="s">
        <v>52</v>
      </c>
      <c r="C56" s="4" t="s">
        <v>183</v>
      </c>
      <c r="D56" s="1" t="b">
        <f t="shared" si="11"/>
        <v>1</v>
      </c>
      <c r="E56" s="1" t="str">
        <f t="shared" si="1"/>
        <v>00000000101001011011</v>
      </c>
      <c r="F56" s="1" t="str">
        <f t="shared" si="2"/>
        <v>0000</v>
      </c>
      <c r="G56" s="1" t="str">
        <f t="shared" si="3"/>
        <v>101001011011</v>
      </c>
      <c r="H56" s="1">
        <f t="shared" si="4"/>
        <v>0</v>
      </c>
      <c r="I56" s="1" t="str">
        <f t="shared" si="5"/>
        <v>0101001011011</v>
      </c>
      <c r="J56" s="1">
        <f t="shared" si="6"/>
        <v>0</v>
      </c>
      <c r="K56" s="1" t="str">
        <f t="shared" si="7"/>
        <v>0000101001011011</v>
      </c>
      <c r="M56" s="1" t="str">
        <f t="shared" si="8"/>
        <v>00000000101001011011</v>
      </c>
      <c r="N56" s="1" t="b">
        <f t="shared" si="9"/>
        <v>1</v>
      </c>
      <c r="O56" s="1">
        <f t="shared" si="10"/>
        <v>2651</v>
      </c>
    </row>
    <row r="57" spans="1:15" x14ac:dyDescent="0.25">
      <c r="A57" s="1">
        <v>1955</v>
      </c>
      <c r="B57" s="2" t="s">
        <v>53</v>
      </c>
      <c r="C57" s="4" t="s">
        <v>184</v>
      </c>
      <c r="D57" s="1" t="b">
        <f t="shared" si="11"/>
        <v>0</v>
      </c>
      <c r="E57" s="1" t="str">
        <f t="shared" si="1"/>
        <v>00110000101001010111</v>
      </c>
      <c r="F57" s="1" t="str">
        <f t="shared" si="2"/>
        <v>0011</v>
      </c>
      <c r="G57" s="1" t="str">
        <f t="shared" si="3"/>
        <v>010001010111</v>
      </c>
      <c r="H57" s="1">
        <f t="shared" si="4"/>
        <v>1</v>
      </c>
      <c r="I57" s="1" t="str">
        <f t="shared" si="5"/>
        <v>0101001010111</v>
      </c>
      <c r="J57" s="1">
        <f t="shared" si="6"/>
        <v>3</v>
      </c>
      <c r="K57" s="1" t="str">
        <f t="shared" si="7"/>
        <v>0000101001010111</v>
      </c>
      <c r="M57" s="1" t="str">
        <f t="shared" si="8"/>
        <v>00110000101001010111</v>
      </c>
      <c r="N57" s="1" t="b">
        <f t="shared" si="9"/>
        <v>1</v>
      </c>
      <c r="O57" s="1">
        <f t="shared" si="10"/>
        <v>199255</v>
      </c>
    </row>
    <row r="58" spans="1:15" x14ac:dyDescent="0.25">
      <c r="A58" s="1">
        <v>1956</v>
      </c>
      <c r="B58" s="2" t="s">
        <v>54</v>
      </c>
      <c r="C58" s="4" t="s">
        <v>185</v>
      </c>
      <c r="D58" s="1" t="b">
        <f t="shared" si="11"/>
        <v>0</v>
      </c>
      <c r="E58" s="1" t="str">
        <f t="shared" si="1"/>
        <v>00000000010100101011</v>
      </c>
      <c r="F58" s="1" t="str">
        <f t="shared" si="2"/>
        <v>0000</v>
      </c>
      <c r="G58" s="1" t="str">
        <f t="shared" si="3"/>
        <v>010100101011</v>
      </c>
      <c r="H58" s="1">
        <f t="shared" si="4"/>
        <v>0</v>
      </c>
      <c r="I58" s="1" t="str">
        <f t="shared" si="5"/>
        <v>0010100101011</v>
      </c>
      <c r="J58" s="1">
        <f t="shared" si="6"/>
        <v>0</v>
      </c>
      <c r="K58" s="1" t="str">
        <f t="shared" si="7"/>
        <v>0000010100101011</v>
      </c>
      <c r="M58" s="1" t="str">
        <f t="shared" si="8"/>
        <v>00000000010100101011</v>
      </c>
      <c r="N58" s="1" t="b">
        <f t="shared" si="9"/>
        <v>1</v>
      </c>
      <c r="O58" s="1">
        <f t="shared" si="10"/>
        <v>1323</v>
      </c>
    </row>
    <row r="59" spans="1:15" x14ac:dyDescent="0.25">
      <c r="A59" s="1">
        <v>1957</v>
      </c>
      <c r="B59" s="2" t="s">
        <v>55</v>
      </c>
      <c r="C59" s="4" t="s">
        <v>186</v>
      </c>
      <c r="D59" s="1" t="b">
        <f t="shared" si="11"/>
        <v>0</v>
      </c>
      <c r="E59" s="1" t="str">
        <f t="shared" ref="E59" si="12">RIGHT("00000000000000000000" &amp; C59,20)</f>
        <v>10000001010100101010</v>
      </c>
      <c r="F59" s="1" t="str">
        <f t="shared" ref="F59" si="13">IF(RIGHT(B59,4)="1111","0000",RIGHT(B59,4))</f>
        <v>1000</v>
      </c>
      <c r="G59" s="1" t="str">
        <f t="shared" ref="G59" si="14">RIGHT("00000" &amp; LEFT(B59,LEN(B59)-4),12)</f>
        <v>101010011010</v>
      </c>
      <c r="H59" s="1">
        <f t="shared" ref="H59" si="15">IF(RIGHT(B60,4)="1111",1,0)</f>
        <v>0</v>
      </c>
      <c r="I59" s="1" t="str">
        <f t="shared" ref="I59" si="16">LEFT(G59,J59) &amp; H59 &amp; MID(G59,J59+1,100)</f>
        <v>1010100101010</v>
      </c>
      <c r="J59" s="1">
        <f t="shared" ref="J59" si="17">BIN2DEC(F59)</f>
        <v>8</v>
      </c>
      <c r="K59" s="1" t="str">
        <f t="shared" ref="K59" si="18">RIGHT("000000000000000" &amp; I59,16)</f>
        <v>0001010100101010</v>
      </c>
      <c r="M59" s="1" t="str">
        <f t="shared" ref="M59" si="19">IF(F59="0000",RIGHT("00000000000000000000" &amp; LEFT(B59,LEN(B59)-4),20),F59&amp;K59)</f>
        <v>10000001010100101010</v>
      </c>
      <c r="N59" s="1" t="b">
        <f>M59=E59</f>
        <v>1</v>
      </c>
      <c r="O59" s="1">
        <f t="shared" si="10"/>
        <v>529706</v>
      </c>
    </row>
    <row r="60" spans="1:15" x14ac:dyDescent="0.25">
      <c r="A60" s="1">
        <v>1958</v>
      </c>
      <c r="B60" s="2" t="s">
        <v>56</v>
      </c>
      <c r="C60" s="4" t="s">
        <v>187</v>
      </c>
      <c r="D60" s="1" t="b">
        <f t="shared" si="11"/>
        <v>1</v>
      </c>
      <c r="E60" s="1" t="str">
        <f t="shared" ref="E60:E62" si="20">RIGHT("00000000000000000000" &amp; C60,20)</f>
        <v>00000000111010010101</v>
      </c>
      <c r="F60" s="1" t="str">
        <f t="shared" ref="F60:F62" si="21">IF(RIGHT(B60,4)="1111","0000",RIGHT(B60,4))</f>
        <v>0000</v>
      </c>
      <c r="G60" s="1" t="str">
        <f t="shared" ref="G60:G62" si="22">RIGHT("00000" &amp; LEFT(B60,LEN(B60)-4),12)</f>
        <v>111010010101</v>
      </c>
      <c r="H60" s="1">
        <f t="shared" ref="H60:H62" si="23">IF(RIGHT(B61,4)="1111",1,0)</f>
        <v>0</v>
      </c>
      <c r="I60" s="1" t="str">
        <f t="shared" ref="I60:I62" si="24">LEFT(G60,J60) &amp; H60 &amp; MID(G60,J60+1,100)</f>
        <v>0111010010101</v>
      </c>
      <c r="J60" s="1">
        <f t="shared" ref="J60:J62" si="25">BIN2DEC(F60)</f>
        <v>0</v>
      </c>
      <c r="K60" s="1" t="str">
        <f t="shared" ref="K60:K62" si="26">RIGHT("000000000000000" &amp; I60,16)</f>
        <v>0000111010010101</v>
      </c>
      <c r="M60" s="1" t="str">
        <f t="shared" ref="M60:M62" si="27">IF(F60="0000",RIGHT("00000000000000000000" &amp; LEFT(B60,LEN(B60)-4),20),F60&amp;K60)</f>
        <v>00000000111010010101</v>
      </c>
      <c r="N60" s="1" t="b">
        <f t="shared" ref="N60:N62" si="28">M60=E60</f>
        <v>1</v>
      </c>
      <c r="O60" s="1">
        <f t="shared" si="10"/>
        <v>3733</v>
      </c>
    </row>
    <row r="61" spans="1:15" x14ac:dyDescent="0.25">
      <c r="A61" s="1">
        <v>1959</v>
      </c>
      <c r="B61" s="2" t="s">
        <v>57</v>
      </c>
      <c r="C61" s="4" t="s">
        <v>188</v>
      </c>
      <c r="D61" s="1" t="b">
        <f t="shared" si="11"/>
        <v>1</v>
      </c>
      <c r="E61" s="1" t="str">
        <f t="shared" si="20"/>
        <v>00000000011010101010</v>
      </c>
      <c r="F61" s="1" t="str">
        <f t="shared" si="21"/>
        <v>0000</v>
      </c>
      <c r="G61" s="1" t="str">
        <f t="shared" si="22"/>
        <v>011010101010</v>
      </c>
      <c r="H61" s="1">
        <f t="shared" si="23"/>
        <v>0</v>
      </c>
      <c r="I61" s="1" t="str">
        <f t="shared" si="24"/>
        <v>0011010101010</v>
      </c>
      <c r="J61" s="1">
        <f t="shared" si="25"/>
        <v>0</v>
      </c>
      <c r="K61" s="1" t="str">
        <f t="shared" si="26"/>
        <v>0000011010101010</v>
      </c>
      <c r="M61" s="1" t="str">
        <f t="shared" si="27"/>
        <v>00000000011010101010</v>
      </c>
      <c r="N61" s="1" t="b">
        <f t="shared" si="28"/>
        <v>1</v>
      </c>
      <c r="O61" s="1">
        <f t="shared" si="10"/>
        <v>1706</v>
      </c>
    </row>
    <row r="62" spans="1:15" x14ac:dyDescent="0.25">
      <c r="A62" s="1">
        <v>1960</v>
      </c>
      <c r="B62" s="2" t="s">
        <v>58</v>
      </c>
      <c r="C62" s="4" t="s">
        <v>189</v>
      </c>
      <c r="D62" s="1" t="b">
        <f t="shared" si="11"/>
        <v>0</v>
      </c>
      <c r="E62" s="1" t="str">
        <f t="shared" si="20"/>
        <v>01100001010110101010</v>
      </c>
      <c r="F62" s="1" t="str">
        <f t="shared" si="21"/>
        <v>0110</v>
      </c>
      <c r="G62" s="1" t="str">
        <f t="shared" si="22"/>
        <v>101011101010</v>
      </c>
      <c r="H62" s="1">
        <f t="shared" si="23"/>
        <v>0</v>
      </c>
      <c r="I62" s="1" t="str">
        <f t="shared" si="24"/>
        <v>1010110101010</v>
      </c>
      <c r="J62" s="1">
        <f t="shared" si="25"/>
        <v>6</v>
      </c>
      <c r="K62" s="1" t="str">
        <f t="shared" si="26"/>
        <v>0001010110101010</v>
      </c>
      <c r="M62" s="1" t="str">
        <f t="shared" si="27"/>
        <v>01100001010110101010</v>
      </c>
      <c r="N62" s="1" t="b">
        <f t="shared" si="28"/>
        <v>1</v>
      </c>
      <c r="O62" s="1">
        <f t="shared" si="10"/>
        <v>398762</v>
      </c>
    </row>
    <row r="63" spans="1:15" x14ac:dyDescent="0.25">
      <c r="A63" s="1">
        <v>1961</v>
      </c>
      <c r="B63" s="2" t="s">
        <v>59</v>
      </c>
      <c r="C63" s="4" t="s">
        <v>190</v>
      </c>
      <c r="D63" s="1" t="b">
        <f t="shared" si="11"/>
        <v>1</v>
      </c>
      <c r="E63" s="1" t="str">
        <f t="shared" ref="E63:E126" si="29">RIGHT("00000000000000000000" &amp; C63,20)</f>
        <v>00000000101010110101</v>
      </c>
      <c r="F63" s="1" t="str">
        <f t="shared" ref="F63:F126" si="30">IF(RIGHT(B63,4)="1111","0000",RIGHT(B63,4))</f>
        <v>0000</v>
      </c>
      <c r="G63" s="1" t="str">
        <f t="shared" ref="G63:G126" si="31">RIGHT("00000" &amp; LEFT(B63,LEN(B63)-4),12)</f>
        <v>101010110101</v>
      </c>
      <c r="H63" s="1">
        <f t="shared" ref="H63:H126" si="32">IF(RIGHT(B64,4)="1111",1,0)</f>
        <v>0</v>
      </c>
      <c r="I63" s="1" t="str">
        <f t="shared" ref="I63:I126" si="33">LEFT(G63,J63) &amp; H63 &amp; MID(G63,J63+1,100)</f>
        <v>0101010110101</v>
      </c>
      <c r="J63" s="1">
        <f t="shared" ref="J63:J126" si="34">BIN2DEC(F63)</f>
        <v>0</v>
      </c>
      <c r="K63" s="1" t="str">
        <f t="shared" ref="K63:K126" si="35">RIGHT("000000000000000" &amp; I63,16)</f>
        <v>0000101010110101</v>
      </c>
      <c r="M63" s="1" t="str">
        <f t="shared" ref="M63:M126" si="36">IF(F63="0000",RIGHT("00000000000000000000" &amp; LEFT(B63,LEN(B63)-4),20),F63&amp;K63)</f>
        <v>00000000101010110101</v>
      </c>
      <c r="N63" s="1" t="b">
        <f t="shared" ref="N63:N126" si="37">M63=E63</f>
        <v>1</v>
      </c>
      <c r="O63" s="1">
        <f t="shared" si="10"/>
        <v>2741</v>
      </c>
    </row>
    <row r="64" spans="1:15" x14ac:dyDescent="0.25">
      <c r="A64" s="1">
        <v>1962</v>
      </c>
      <c r="B64" s="2" t="s">
        <v>60</v>
      </c>
      <c r="C64" s="4" t="s">
        <v>191</v>
      </c>
      <c r="D64" s="1" t="b">
        <f t="shared" si="11"/>
        <v>1</v>
      </c>
      <c r="E64" s="1" t="str">
        <f t="shared" si="29"/>
        <v>00000000010010110110</v>
      </c>
      <c r="F64" s="1" t="str">
        <f t="shared" si="30"/>
        <v>0000</v>
      </c>
      <c r="G64" s="1" t="str">
        <f t="shared" si="31"/>
        <v>010010110110</v>
      </c>
      <c r="H64" s="1">
        <f t="shared" si="32"/>
        <v>0</v>
      </c>
      <c r="I64" s="1" t="str">
        <f t="shared" si="33"/>
        <v>0010010110110</v>
      </c>
      <c r="J64" s="1">
        <f t="shared" si="34"/>
        <v>0</v>
      </c>
      <c r="K64" s="1" t="str">
        <f t="shared" si="35"/>
        <v>0000010010110110</v>
      </c>
      <c r="M64" s="1" t="str">
        <f t="shared" si="36"/>
        <v>00000000010010110110</v>
      </c>
      <c r="N64" s="1" t="b">
        <f t="shared" si="37"/>
        <v>1</v>
      </c>
      <c r="O64" s="1">
        <f t="shared" si="10"/>
        <v>1206</v>
      </c>
    </row>
    <row r="65" spans="1:15" x14ac:dyDescent="0.25">
      <c r="A65" s="1">
        <v>1963</v>
      </c>
      <c r="B65" s="2" t="s">
        <v>61</v>
      </c>
      <c r="C65" s="4" t="s">
        <v>192</v>
      </c>
      <c r="D65" s="1" t="b">
        <f t="shared" si="11"/>
        <v>0</v>
      </c>
      <c r="E65" s="1" t="str">
        <f t="shared" si="29"/>
        <v>01000001010010101110</v>
      </c>
      <c r="F65" s="1" t="str">
        <f t="shared" si="30"/>
        <v>0100</v>
      </c>
      <c r="G65" s="1" t="str">
        <f t="shared" si="31"/>
        <v>101010101110</v>
      </c>
      <c r="H65" s="1">
        <f t="shared" si="32"/>
        <v>0</v>
      </c>
      <c r="I65" s="1" t="str">
        <f t="shared" si="33"/>
        <v>1010010101110</v>
      </c>
      <c r="J65" s="1">
        <f t="shared" si="34"/>
        <v>4</v>
      </c>
      <c r="K65" s="1" t="str">
        <f t="shared" si="35"/>
        <v>0001010010101110</v>
      </c>
      <c r="M65" s="1" t="str">
        <f t="shared" si="36"/>
        <v>01000001010010101110</v>
      </c>
      <c r="N65" s="1" t="b">
        <f t="shared" si="37"/>
        <v>1</v>
      </c>
      <c r="O65" s="1">
        <f t="shared" si="10"/>
        <v>267438</v>
      </c>
    </row>
    <row r="66" spans="1:15" x14ac:dyDescent="0.25">
      <c r="A66" s="1">
        <v>1964</v>
      </c>
      <c r="B66" s="2" t="s">
        <v>2</v>
      </c>
      <c r="C66" s="4" t="s">
        <v>193</v>
      </c>
      <c r="D66" s="1" t="b">
        <f t="shared" si="11"/>
        <v>1</v>
      </c>
      <c r="E66" s="1" t="str">
        <f t="shared" si="29"/>
        <v>00000000101001010111</v>
      </c>
      <c r="F66" s="1" t="str">
        <f t="shared" si="30"/>
        <v>0000</v>
      </c>
      <c r="G66" s="1" t="str">
        <f t="shared" si="31"/>
        <v>101001010111</v>
      </c>
      <c r="H66" s="1">
        <f t="shared" si="32"/>
        <v>0</v>
      </c>
      <c r="I66" s="1" t="str">
        <f t="shared" si="33"/>
        <v>0101001010111</v>
      </c>
      <c r="J66" s="1">
        <f t="shared" si="34"/>
        <v>0</v>
      </c>
      <c r="K66" s="1" t="str">
        <f t="shared" si="35"/>
        <v>0000101001010111</v>
      </c>
      <c r="M66" s="1" t="str">
        <f t="shared" si="36"/>
        <v>00000000101001010111</v>
      </c>
      <c r="N66" s="1" t="b">
        <f t="shared" si="37"/>
        <v>1</v>
      </c>
      <c r="O66" s="1">
        <f t="shared" si="10"/>
        <v>2647</v>
      </c>
    </row>
    <row r="67" spans="1:15" x14ac:dyDescent="0.25">
      <c r="A67" s="1">
        <v>1965</v>
      </c>
      <c r="B67" s="2" t="s">
        <v>62</v>
      </c>
      <c r="C67" s="4" t="s">
        <v>194</v>
      </c>
      <c r="D67" s="1" t="b">
        <f t="shared" si="11"/>
        <v>1</v>
      </c>
      <c r="E67" s="1" t="str">
        <f t="shared" si="29"/>
        <v>00000000010100100110</v>
      </c>
      <c r="F67" s="1" t="str">
        <f t="shared" si="30"/>
        <v>0000</v>
      </c>
      <c r="G67" s="1" t="str">
        <f t="shared" si="31"/>
        <v>010100100110</v>
      </c>
      <c r="H67" s="1">
        <f t="shared" si="32"/>
        <v>0</v>
      </c>
      <c r="I67" s="1" t="str">
        <f t="shared" si="33"/>
        <v>0010100100110</v>
      </c>
      <c r="J67" s="1">
        <f t="shared" si="34"/>
        <v>0</v>
      </c>
      <c r="K67" s="1" t="str">
        <f t="shared" si="35"/>
        <v>0000010100100110</v>
      </c>
      <c r="M67" s="1" t="str">
        <f t="shared" si="36"/>
        <v>00000000010100100110</v>
      </c>
      <c r="N67" s="1" t="b">
        <f t="shared" si="37"/>
        <v>1</v>
      </c>
      <c r="O67" s="1">
        <f t="shared" ref="O67:O130" si="38">mBin2Dec(M67)</f>
        <v>1318</v>
      </c>
    </row>
    <row r="68" spans="1:15" x14ac:dyDescent="0.25">
      <c r="A68" s="1">
        <v>1966</v>
      </c>
      <c r="B68" s="2" t="s">
        <v>63</v>
      </c>
      <c r="C68" s="4" t="s">
        <v>195</v>
      </c>
      <c r="D68" s="1" t="b">
        <f t="shared" si="11"/>
        <v>0</v>
      </c>
      <c r="E68" s="1" t="str">
        <f t="shared" si="29"/>
        <v>00110001110100100110</v>
      </c>
      <c r="F68" s="1" t="str">
        <f t="shared" si="30"/>
        <v>0011</v>
      </c>
      <c r="G68" s="1" t="str">
        <f t="shared" si="31"/>
        <v>111100100110</v>
      </c>
      <c r="H68" s="1">
        <f t="shared" si="32"/>
        <v>0</v>
      </c>
      <c r="I68" s="1" t="str">
        <f t="shared" si="33"/>
        <v>1110100100110</v>
      </c>
      <c r="J68" s="1">
        <f t="shared" si="34"/>
        <v>3</v>
      </c>
      <c r="K68" s="1" t="str">
        <f t="shared" si="35"/>
        <v>0001110100100110</v>
      </c>
      <c r="M68" s="1" t="str">
        <f t="shared" si="36"/>
        <v>00110001110100100110</v>
      </c>
      <c r="N68" s="1" t="b">
        <f t="shared" si="37"/>
        <v>1</v>
      </c>
      <c r="O68" s="1">
        <f t="shared" si="38"/>
        <v>204070</v>
      </c>
    </row>
    <row r="69" spans="1:15" x14ac:dyDescent="0.25">
      <c r="A69" s="1">
        <v>1967</v>
      </c>
      <c r="B69" s="2" t="s">
        <v>5</v>
      </c>
      <c r="C69" s="4" t="s">
        <v>196</v>
      </c>
      <c r="D69" s="1" t="b">
        <f t="shared" si="11"/>
        <v>1</v>
      </c>
      <c r="E69" s="1" t="str">
        <f t="shared" si="29"/>
        <v>00000000110110010101</v>
      </c>
      <c r="F69" s="1" t="str">
        <f t="shared" si="30"/>
        <v>0000</v>
      </c>
      <c r="G69" s="1" t="str">
        <f t="shared" si="31"/>
        <v>110110010101</v>
      </c>
      <c r="H69" s="1">
        <f t="shared" si="32"/>
        <v>0</v>
      </c>
      <c r="I69" s="1" t="str">
        <f t="shared" si="33"/>
        <v>0110110010101</v>
      </c>
      <c r="J69" s="1">
        <f t="shared" si="34"/>
        <v>0</v>
      </c>
      <c r="K69" s="1" t="str">
        <f t="shared" si="35"/>
        <v>0000110110010101</v>
      </c>
      <c r="M69" s="1" t="str">
        <f t="shared" si="36"/>
        <v>00000000110110010101</v>
      </c>
      <c r="N69" s="1" t="b">
        <f t="shared" si="37"/>
        <v>1</v>
      </c>
      <c r="O69" s="1">
        <f t="shared" si="38"/>
        <v>3477</v>
      </c>
    </row>
    <row r="70" spans="1:15" x14ac:dyDescent="0.25">
      <c r="A70" s="1">
        <v>1968</v>
      </c>
      <c r="B70" s="2" t="s">
        <v>64</v>
      </c>
      <c r="C70" s="4" t="s">
        <v>197</v>
      </c>
      <c r="D70" s="1" t="b">
        <f t="shared" si="11"/>
        <v>0</v>
      </c>
      <c r="E70" s="1" t="str">
        <f t="shared" si="29"/>
        <v>01110000101101010101</v>
      </c>
      <c r="F70" s="1" t="str">
        <f t="shared" si="30"/>
        <v>0111</v>
      </c>
      <c r="G70" s="1" t="str">
        <f t="shared" si="31"/>
        <v>010110110101</v>
      </c>
      <c r="H70" s="1">
        <f t="shared" si="32"/>
        <v>0</v>
      </c>
      <c r="I70" s="1" t="str">
        <f t="shared" si="33"/>
        <v>0101101010101</v>
      </c>
      <c r="J70" s="1">
        <f t="shared" si="34"/>
        <v>7</v>
      </c>
      <c r="K70" s="1" t="str">
        <f t="shared" si="35"/>
        <v>0000101101010101</v>
      </c>
      <c r="M70" s="1" t="str">
        <f t="shared" si="36"/>
        <v>01110000101101010101</v>
      </c>
      <c r="N70" s="1" t="b">
        <f t="shared" si="37"/>
        <v>1</v>
      </c>
      <c r="O70" s="1">
        <f t="shared" si="38"/>
        <v>461653</v>
      </c>
    </row>
    <row r="71" spans="1:15" x14ac:dyDescent="0.25">
      <c r="A71" s="1">
        <v>1969</v>
      </c>
      <c r="B71" s="2" t="s">
        <v>41</v>
      </c>
      <c r="C71" s="4" t="s">
        <v>173</v>
      </c>
      <c r="D71" s="1" t="b">
        <f t="shared" si="11"/>
        <v>1</v>
      </c>
      <c r="E71" s="1" t="str">
        <f t="shared" si="29"/>
        <v>00000000010101101010</v>
      </c>
      <c r="F71" s="1" t="str">
        <f t="shared" si="30"/>
        <v>0000</v>
      </c>
      <c r="G71" s="1" t="str">
        <f t="shared" si="31"/>
        <v>010101101010</v>
      </c>
      <c r="H71" s="1">
        <f t="shared" si="32"/>
        <v>0</v>
      </c>
      <c r="I71" s="1" t="str">
        <f t="shared" si="33"/>
        <v>0010101101010</v>
      </c>
      <c r="J71" s="1">
        <f t="shared" si="34"/>
        <v>0</v>
      </c>
      <c r="K71" s="1" t="str">
        <f t="shared" si="35"/>
        <v>0000010101101010</v>
      </c>
      <c r="M71" s="1" t="str">
        <f t="shared" si="36"/>
        <v>00000000010101101010</v>
      </c>
      <c r="N71" s="1" t="b">
        <f t="shared" si="37"/>
        <v>1</v>
      </c>
      <c r="O71" s="1">
        <f t="shared" si="38"/>
        <v>1386</v>
      </c>
    </row>
    <row r="72" spans="1:15" x14ac:dyDescent="0.25">
      <c r="A72" s="1">
        <v>1970</v>
      </c>
      <c r="B72" s="2" t="s">
        <v>65</v>
      </c>
      <c r="C72" s="4" t="s">
        <v>198</v>
      </c>
      <c r="D72" s="1" t="b">
        <f t="shared" si="11"/>
        <v>1</v>
      </c>
      <c r="E72" s="1" t="str">
        <f t="shared" si="29"/>
        <v>00000000100101101101</v>
      </c>
      <c r="F72" s="1" t="str">
        <f t="shared" si="30"/>
        <v>0000</v>
      </c>
      <c r="G72" s="1" t="str">
        <f t="shared" si="31"/>
        <v>100101101101</v>
      </c>
      <c r="H72" s="1">
        <f t="shared" si="32"/>
        <v>0</v>
      </c>
      <c r="I72" s="1" t="str">
        <f t="shared" si="33"/>
        <v>0100101101101</v>
      </c>
      <c r="J72" s="1">
        <f t="shared" si="34"/>
        <v>0</v>
      </c>
      <c r="K72" s="1" t="str">
        <f t="shared" si="35"/>
        <v>0000100101101101</v>
      </c>
      <c r="M72" s="1" t="str">
        <f t="shared" si="36"/>
        <v>00000000100101101101</v>
      </c>
      <c r="N72" s="1" t="b">
        <f t="shared" si="37"/>
        <v>1</v>
      </c>
      <c r="O72" s="1">
        <f t="shared" si="38"/>
        <v>2413</v>
      </c>
    </row>
    <row r="73" spans="1:15" x14ac:dyDescent="0.25">
      <c r="A73" s="1">
        <v>1971</v>
      </c>
      <c r="B73" s="2" t="s">
        <v>66</v>
      </c>
      <c r="C73" s="4" t="s">
        <v>199</v>
      </c>
      <c r="D73" s="1" t="b">
        <f t="shared" si="11"/>
        <v>0</v>
      </c>
      <c r="E73" s="1" t="str">
        <f t="shared" si="29"/>
        <v>01010000100101011101</v>
      </c>
      <c r="F73" s="1" t="str">
        <f t="shared" si="30"/>
        <v>0101</v>
      </c>
      <c r="G73" s="1" t="str">
        <f t="shared" si="31"/>
        <v>010011011101</v>
      </c>
      <c r="H73" s="1">
        <f t="shared" si="32"/>
        <v>0</v>
      </c>
      <c r="I73" s="1" t="str">
        <f t="shared" si="33"/>
        <v>0100101011101</v>
      </c>
      <c r="J73" s="1">
        <f t="shared" si="34"/>
        <v>5</v>
      </c>
      <c r="K73" s="1" t="str">
        <f t="shared" si="35"/>
        <v>0000100101011101</v>
      </c>
      <c r="M73" s="1" t="str">
        <f t="shared" si="36"/>
        <v>01010000100101011101</v>
      </c>
      <c r="N73" s="1" t="b">
        <f t="shared" si="37"/>
        <v>1</v>
      </c>
      <c r="O73" s="1">
        <f t="shared" si="38"/>
        <v>330077</v>
      </c>
    </row>
    <row r="74" spans="1:15" x14ac:dyDescent="0.25">
      <c r="A74" s="1">
        <v>1972</v>
      </c>
      <c r="B74" s="2" t="s">
        <v>67</v>
      </c>
      <c r="C74" s="4" t="s">
        <v>200</v>
      </c>
      <c r="D74" s="1" t="b">
        <f t="shared" si="11"/>
        <v>1</v>
      </c>
      <c r="E74" s="1" t="str">
        <f t="shared" si="29"/>
        <v>00000000010010101101</v>
      </c>
      <c r="F74" s="1" t="str">
        <f t="shared" si="30"/>
        <v>0000</v>
      </c>
      <c r="G74" s="1" t="str">
        <f t="shared" si="31"/>
        <v>010010101101</v>
      </c>
      <c r="H74" s="1">
        <f t="shared" si="32"/>
        <v>0</v>
      </c>
      <c r="I74" s="1" t="str">
        <f t="shared" si="33"/>
        <v>0010010101101</v>
      </c>
      <c r="J74" s="1">
        <f t="shared" si="34"/>
        <v>0</v>
      </c>
      <c r="K74" s="1" t="str">
        <f t="shared" si="35"/>
        <v>0000010010101101</v>
      </c>
      <c r="M74" s="1" t="str">
        <f t="shared" si="36"/>
        <v>00000000010010101101</v>
      </c>
      <c r="N74" s="1" t="b">
        <f t="shared" si="37"/>
        <v>1</v>
      </c>
      <c r="O74" s="1">
        <f t="shared" si="38"/>
        <v>1197</v>
      </c>
    </row>
    <row r="75" spans="1:15" x14ac:dyDescent="0.25">
      <c r="A75" s="1">
        <v>1973</v>
      </c>
      <c r="B75" s="2" t="s">
        <v>11</v>
      </c>
      <c r="C75" s="4" t="s">
        <v>201</v>
      </c>
      <c r="D75" s="1" t="b">
        <f t="shared" si="11"/>
        <v>1</v>
      </c>
      <c r="E75" s="1" t="str">
        <f t="shared" si="29"/>
        <v>00000000101001001101</v>
      </c>
      <c r="F75" s="1" t="str">
        <f t="shared" si="30"/>
        <v>0000</v>
      </c>
      <c r="G75" s="1" t="str">
        <f t="shared" si="31"/>
        <v>101001001101</v>
      </c>
      <c r="H75" s="1">
        <f t="shared" si="32"/>
        <v>0</v>
      </c>
      <c r="I75" s="1" t="str">
        <f t="shared" si="33"/>
        <v>0101001001101</v>
      </c>
      <c r="J75" s="1">
        <f t="shared" si="34"/>
        <v>0</v>
      </c>
      <c r="K75" s="1" t="str">
        <f t="shared" si="35"/>
        <v>0000101001001101</v>
      </c>
      <c r="M75" s="1" t="str">
        <f t="shared" si="36"/>
        <v>00000000101001001101</v>
      </c>
      <c r="N75" s="1" t="b">
        <f t="shared" si="37"/>
        <v>1</v>
      </c>
      <c r="O75" s="1">
        <f t="shared" si="38"/>
        <v>2637</v>
      </c>
    </row>
    <row r="76" spans="1:15" x14ac:dyDescent="0.25">
      <c r="A76" s="1">
        <v>1974</v>
      </c>
      <c r="B76" s="2" t="s">
        <v>68</v>
      </c>
      <c r="C76" s="4" t="s">
        <v>202</v>
      </c>
      <c r="D76" s="1" t="b">
        <f t="shared" si="11"/>
        <v>0</v>
      </c>
      <c r="E76" s="1" t="str">
        <f t="shared" si="29"/>
        <v>01000001101001001101</v>
      </c>
      <c r="F76" s="1" t="str">
        <f t="shared" si="30"/>
        <v>0100</v>
      </c>
      <c r="G76" s="1" t="str">
        <f t="shared" si="31"/>
        <v>110101001101</v>
      </c>
      <c r="H76" s="1">
        <f t="shared" si="32"/>
        <v>0</v>
      </c>
      <c r="I76" s="1" t="str">
        <f t="shared" si="33"/>
        <v>1101001001101</v>
      </c>
      <c r="J76" s="1">
        <f t="shared" si="34"/>
        <v>4</v>
      </c>
      <c r="K76" s="1" t="str">
        <f t="shared" si="35"/>
        <v>0001101001001101</v>
      </c>
      <c r="M76" s="1" t="str">
        <f t="shared" si="36"/>
        <v>01000001101001001101</v>
      </c>
      <c r="N76" s="1" t="b">
        <f t="shared" si="37"/>
        <v>1</v>
      </c>
      <c r="O76" s="1">
        <f t="shared" si="38"/>
        <v>268877</v>
      </c>
    </row>
    <row r="77" spans="1:15" x14ac:dyDescent="0.25">
      <c r="A77" s="1">
        <v>1975</v>
      </c>
      <c r="B77" s="2" t="s">
        <v>12</v>
      </c>
      <c r="C77" s="4" t="s">
        <v>203</v>
      </c>
      <c r="D77" s="1" t="b">
        <f t="shared" si="11"/>
        <v>1</v>
      </c>
      <c r="E77" s="1" t="str">
        <f t="shared" si="29"/>
        <v>00000000110100100101</v>
      </c>
      <c r="F77" s="1" t="str">
        <f t="shared" si="30"/>
        <v>0000</v>
      </c>
      <c r="G77" s="1" t="str">
        <f t="shared" si="31"/>
        <v>110100100101</v>
      </c>
      <c r="H77" s="1">
        <f t="shared" si="32"/>
        <v>0</v>
      </c>
      <c r="I77" s="1" t="str">
        <f t="shared" si="33"/>
        <v>0110100100101</v>
      </c>
      <c r="J77" s="1">
        <f t="shared" si="34"/>
        <v>0</v>
      </c>
      <c r="K77" s="1" t="str">
        <f t="shared" si="35"/>
        <v>0000110100100101</v>
      </c>
      <c r="M77" s="1" t="str">
        <f t="shared" si="36"/>
        <v>00000000110100100101</v>
      </c>
      <c r="N77" s="1" t="b">
        <f t="shared" si="37"/>
        <v>1</v>
      </c>
      <c r="O77" s="1">
        <f t="shared" si="38"/>
        <v>3365</v>
      </c>
    </row>
    <row r="78" spans="1:15" x14ac:dyDescent="0.25">
      <c r="A78" s="1">
        <v>1976</v>
      </c>
      <c r="B78" s="2" t="s">
        <v>69</v>
      </c>
      <c r="C78" s="4" t="s">
        <v>204</v>
      </c>
      <c r="D78" s="1" t="b">
        <f t="shared" si="11"/>
        <v>0</v>
      </c>
      <c r="E78" s="1" t="str">
        <f t="shared" si="29"/>
        <v>10000001101010100101</v>
      </c>
      <c r="F78" s="1" t="str">
        <f t="shared" si="30"/>
        <v>1000</v>
      </c>
      <c r="G78" s="1" t="str">
        <f t="shared" si="31"/>
        <v>110101010101</v>
      </c>
      <c r="H78" s="1">
        <f t="shared" si="32"/>
        <v>0</v>
      </c>
      <c r="I78" s="1" t="str">
        <f t="shared" si="33"/>
        <v>1101010100101</v>
      </c>
      <c r="J78" s="1">
        <f t="shared" si="34"/>
        <v>8</v>
      </c>
      <c r="K78" s="1" t="str">
        <f t="shared" si="35"/>
        <v>0001101010100101</v>
      </c>
      <c r="M78" s="1" t="str">
        <f t="shared" si="36"/>
        <v>10000001101010100101</v>
      </c>
      <c r="N78" s="1" t="b">
        <f t="shared" si="37"/>
        <v>1</v>
      </c>
      <c r="O78" s="1">
        <f t="shared" si="38"/>
        <v>531109</v>
      </c>
    </row>
    <row r="79" spans="1:15" x14ac:dyDescent="0.25">
      <c r="A79" s="1">
        <v>1977</v>
      </c>
      <c r="B79" s="2" t="s">
        <v>70</v>
      </c>
      <c r="C79" s="4" t="s">
        <v>205</v>
      </c>
      <c r="D79" s="1" t="b">
        <f t="shared" si="11"/>
        <v>1</v>
      </c>
      <c r="E79" s="1" t="str">
        <f t="shared" si="29"/>
        <v>00000000101101010100</v>
      </c>
      <c r="F79" s="1" t="str">
        <f t="shared" si="30"/>
        <v>0000</v>
      </c>
      <c r="G79" s="1" t="str">
        <f t="shared" si="31"/>
        <v>101101010100</v>
      </c>
      <c r="H79" s="1">
        <f t="shared" si="32"/>
        <v>0</v>
      </c>
      <c r="I79" s="1" t="str">
        <f t="shared" si="33"/>
        <v>0101101010100</v>
      </c>
      <c r="J79" s="1">
        <f t="shared" si="34"/>
        <v>0</v>
      </c>
      <c r="K79" s="1" t="str">
        <f t="shared" si="35"/>
        <v>0000101101010100</v>
      </c>
      <c r="M79" s="1" t="str">
        <f t="shared" si="36"/>
        <v>00000000101101010100</v>
      </c>
      <c r="N79" s="1" t="b">
        <f t="shared" si="37"/>
        <v>1</v>
      </c>
      <c r="O79" s="1">
        <f t="shared" si="38"/>
        <v>2900</v>
      </c>
    </row>
    <row r="80" spans="1:15" x14ac:dyDescent="0.25">
      <c r="A80" s="1">
        <v>1978</v>
      </c>
      <c r="B80" s="2" t="s">
        <v>71</v>
      </c>
      <c r="C80" s="4" t="s">
        <v>206</v>
      </c>
      <c r="D80" s="1" t="b">
        <f t="shared" si="11"/>
        <v>1</v>
      </c>
      <c r="E80" s="1" t="str">
        <f t="shared" si="29"/>
        <v>00000000101101101010</v>
      </c>
      <c r="F80" s="1" t="str">
        <f t="shared" si="30"/>
        <v>0000</v>
      </c>
      <c r="G80" s="1" t="str">
        <f t="shared" si="31"/>
        <v>101101101010</v>
      </c>
      <c r="H80" s="1">
        <f t="shared" si="32"/>
        <v>0</v>
      </c>
      <c r="I80" s="1" t="str">
        <f t="shared" si="33"/>
        <v>0101101101010</v>
      </c>
      <c r="J80" s="1">
        <f t="shared" si="34"/>
        <v>0</v>
      </c>
      <c r="K80" s="1" t="str">
        <f t="shared" si="35"/>
        <v>0000101101101010</v>
      </c>
      <c r="M80" s="1" t="str">
        <f t="shared" si="36"/>
        <v>00000000101101101010</v>
      </c>
      <c r="N80" s="1" t="b">
        <f t="shared" si="37"/>
        <v>1</v>
      </c>
      <c r="O80" s="1">
        <f t="shared" si="38"/>
        <v>2922</v>
      </c>
    </row>
    <row r="81" spans="1:15" x14ac:dyDescent="0.25">
      <c r="A81" s="1">
        <v>1979</v>
      </c>
      <c r="B81" s="2" t="s">
        <v>72</v>
      </c>
      <c r="C81" s="4" t="s">
        <v>207</v>
      </c>
      <c r="D81" s="1" t="b">
        <f t="shared" si="11"/>
        <v>0</v>
      </c>
      <c r="E81" s="1" t="str">
        <f t="shared" si="29"/>
        <v>01100001001011011010</v>
      </c>
      <c r="F81" s="1" t="str">
        <f t="shared" si="30"/>
        <v>0110</v>
      </c>
      <c r="G81" s="1" t="str">
        <f t="shared" si="31"/>
        <v>100101011010</v>
      </c>
      <c r="H81" s="1">
        <f t="shared" si="32"/>
        <v>1</v>
      </c>
      <c r="I81" s="1" t="str">
        <f t="shared" si="33"/>
        <v>1001011011010</v>
      </c>
      <c r="J81" s="1">
        <f t="shared" si="34"/>
        <v>6</v>
      </c>
      <c r="K81" s="1" t="str">
        <f t="shared" si="35"/>
        <v>0001001011011010</v>
      </c>
      <c r="M81" s="1" t="str">
        <f t="shared" si="36"/>
        <v>01100001001011011010</v>
      </c>
      <c r="N81" s="1" t="b">
        <f t="shared" si="37"/>
        <v>1</v>
      </c>
      <c r="O81" s="1">
        <f t="shared" si="38"/>
        <v>398042</v>
      </c>
    </row>
    <row r="82" spans="1:15" x14ac:dyDescent="0.25">
      <c r="A82" s="1">
        <v>1980</v>
      </c>
      <c r="B82" s="2" t="s">
        <v>73</v>
      </c>
      <c r="C82" s="4" t="s">
        <v>208</v>
      </c>
      <c r="D82" s="1" t="b">
        <f t="shared" si="11"/>
        <v>0</v>
      </c>
      <c r="E82" s="1" t="str">
        <f t="shared" si="29"/>
        <v>00000000100101011011</v>
      </c>
      <c r="F82" s="1" t="str">
        <f t="shared" si="30"/>
        <v>0000</v>
      </c>
      <c r="G82" s="1" t="str">
        <f t="shared" si="31"/>
        <v>100101011011</v>
      </c>
      <c r="H82" s="1">
        <f t="shared" si="32"/>
        <v>0</v>
      </c>
      <c r="I82" s="1" t="str">
        <f t="shared" si="33"/>
        <v>0100101011011</v>
      </c>
      <c r="J82" s="1">
        <f t="shared" si="34"/>
        <v>0</v>
      </c>
      <c r="K82" s="1" t="str">
        <f t="shared" si="35"/>
        <v>0000100101011011</v>
      </c>
      <c r="M82" s="1" t="str">
        <f t="shared" si="36"/>
        <v>00000000100101011011</v>
      </c>
      <c r="N82" s="1" t="b">
        <f t="shared" si="37"/>
        <v>1</v>
      </c>
      <c r="O82" s="1">
        <f t="shared" si="38"/>
        <v>2395</v>
      </c>
    </row>
    <row r="83" spans="1:15" x14ac:dyDescent="0.25">
      <c r="A83" s="1">
        <v>1981</v>
      </c>
      <c r="B83" s="2" t="s">
        <v>74</v>
      </c>
      <c r="C83" s="4" t="s">
        <v>209</v>
      </c>
      <c r="D83" s="1" t="b">
        <f t="shared" si="11"/>
        <v>1</v>
      </c>
      <c r="E83" s="1" t="str">
        <f t="shared" si="29"/>
        <v>00000000010010011011</v>
      </c>
      <c r="F83" s="1" t="str">
        <f t="shared" si="30"/>
        <v>0000</v>
      </c>
      <c r="G83" s="1" t="str">
        <f t="shared" si="31"/>
        <v>010010011011</v>
      </c>
      <c r="H83" s="1">
        <f t="shared" si="32"/>
        <v>0</v>
      </c>
      <c r="I83" s="1" t="str">
        <f t="shared" si="33"/>
        <v>0010010011011</v>
      </c>
      <c r="J83" s="1">
        <f t="shared" si="34"/>
        <v>0</v>
      </c>
      <c r="K83" s="1" t="str">
        <f t="shared" si="35"/>
        <v>0000010010011011</v>
      </c>
      <c r="M83" s="1" t="str">
        <f t="shared" si="36"/>
        <v>00000000010010011011</v>
      </c>
      <c r="N83" s="1" t="b">
        <f t="shared" si="37"/>
        <v>1</v>
      </c>
      <c r="O83" s="1">
        <f t="shared" si="38"/>
        <v>1179</v>
      </c>
    </row>
    <row r="84" spans="1:15" x14ac:dyDescent="0.25">
      <c r="A84" s="1">
        <v>1982</v>
      </c>
      <c r="B84" s="2" t="s">
        <v>75</v>
      </c>
      <c r="C84" s="4" t="s">
        <v>210</v>
      </c>
      <c r="D84" s="1" t="b">
        <f t="shared" si="11"/>
        <v>0</v>
      </c>
      <c r="E84" s="1" t="str">
        <f t="shared" si="29"/>
        <v>01000001010010010111</v>
      </c>
      <c r="F84" s="1" t="str">
        <f t="shared" si="30"/>
        <v>0100</v>
      </c>
      <c r="G84" s="1" t="str">
        <f t="shared" si="31"/>
        <v>101010010111</v>
      </c>
      <c r="H84" s="1">
        <f t="shared" si="32"/>
        <v>0</v>
      </c>
      <c r="I84" s="1" t="str">
        <f t="shared" si="33"/>
        <v>1010010010111</v>
      </c>
      <c r="J84" s="1">
        <f t="shared" si="34"/>
        <v>4</v>
      </c>
      <c r="K84" s="1" t="str">
        <f t="shared" si="35"/>
        <v>0001010010010111</v>
      </c>
      <c r="M84" s="1" t="str">
        <f t="shared" si="36"/>
        <v>01000001010010010111</v>
      </c>
      <c r="N84" s="1" t="b">
        <f t="shared" si="37"/>
        <v>1</v>
      </c>
      <c r="O84" s="1">
        <f t="shared" si="38"/>
        <v>267415</v>
      </c>
    </row>
    <row r="85" spans="1:15" x14ac:dyDescent="0.25">
      <c r="A85" s="1">
        <v>1983</v>
      </c>
      <c r="B85" s="2" t="s">
        <v>20</v>
      </c>
      <c r="C85" s="4" t="s">
        <v>153</v>
      </c>
      <c r="D85" s="1" t="b">
        <f t="shared" si="11"/>
        <v>1</v>
      </c>
      <c r="E85" s="1" t="str">
        <f t="shared" si="29"/>
        <v>00000000101001001011</v>
      </c>
      <c r="F85" s="1" t="str">
        <f t="shared" si="30"/>
        <v>0000</v>
      </c>
      <c r="G85" s="1" t="str">
        <f t="shared" si="31"/>
        <v>101001001011</v>
      </c>
      <c r="H85" s="1">
        <f t="shared" si="32"/>
        <v>0</v>
      </c>
      <c r="I85" s="1" t="str">
        <f t="shared" si="33"/>
        <v>0101001001011</v>
      </c>
      <c r="J85" s="1">
        <f t="shared" si="34"/>
        <v>0</v>
      </c>
      <c r="K85" s="1" t="str">
        <f t="shared" si="35"/>
        <v>0000101001001011</v>
      </c>
      <c r="M85" s="1" t="str">
        <f t="shared" si="36"/>
        <v>00000000101001001011</v>
      </c>
      <c r="N85" s="1" t="b">
        <f t="shared" si="37"/>
        <v>1</v>
      </c>
      <c r="O85" s="1">
        <f t="shared" si="38"/>
        <v>2635</v>
      </c>
    </row>
    <row r="86" spans="1:15" x14ac:dyDescent="0.25">
      <c r="A86" s="1">
        <v>1984</v>
      </c>
      <c r="B86" s="2" t="s">
        <v>76</v>
      </c>
      <c r="C86" s="4" t="s">
        <v>211</v>
      </c>
      <c r="D86" s="1" t="b">
        <f t="shared" si="11"/>
        <v>0</v>
      </c>
      <c r="E86" s="1" t="str">
        <f t="shared" si="29"/>
        <v>10100001011001001011</v>
      </c>
      <c r="F86" s="1" t="str">
        <f t="shared" si="30"/>
        <v>1010</v>
      </c>
      <c r="G86" s="1" t="str">
        <f t="shared" si="31"/>
        <v>101100100111</v>
      </c>
      <c r="H86" s="1">
        <f t="shared" si="32"/>
        <v>0</v>
      </c>
      <c r="I86" s="1" t="str">
        <f t="shared" si="33"/>
        <v>1011001001011</v>
      </c>
      <c r="J86" s="1">
        <f t="shared" si="34"/>
        <v>10</v>
      </c>
      <c r="K86" s="1" t="str">
        <f t="shared" si="35"/>
        <v>0001011001001011</v>
      </c>
      <c r="M86" s="1" t="str">
        <f t="shared" si="36"/>
        <v>10100001011001001011</v>
      </c>
      <c r="N86" s="1" t="b">
        <f t="shared" si="37"/>
        <v>1</v>
      </c>
      <c r="O86" s="1">
        <f t="shared" si="38"/>
        <v>661067</v>
      </c>
    </row>
    <row r="87" spans="1:15" x14ac:dyDescent="0.25">
      <c r="A87" s="1">
        <v>1985</v>
      </c>
      <c r="B87" s="2" t="s">
        <v>22</v>
      </c>
      <c r="C87" s="4" t="s">
        <v>155</v>
      </c>
      <c r="D87" s="1" t="b">
        <f t="shared" si="11"/>
        <v>1</v>
      </c>
      <c r="E87" s="1" t="str">
        <f t="shared" si="29"/>
        <v>00000000011010100101</v>
      </c>
      <c r="F87" s="1" t="str">
        <f t="shared" si="30"/>
        <v>0000</v>
      </c>
      <c r="G87" s="1" t="str">
        <f t="shared" si="31"/>
        <v>011010100101</v>
      </c>
      <c r="H87" s="1">
        <f t="shared" si="32"/>
        <v>0</v>
      </c>
      <c r="I87" s="1" t="str">
        <f t="shared" si="33"/>
        <v>0011010100101</v>
      </c>
      <c r="J87" s="1">
        <f t="shared" si="34"/>
        <v>0</v>
      </c>
      <c r="K87" s="1" t="str">
        <f t="shared" si="35"/>
        <v>0000011010100101</v>
      </c>
      <c r="M87" s="1" t="str">
        <f t="shared" si="36"/>
        <v>00000000011010100101</v>
      </c>
      <c r="N87" s="1" t="b">
        <f t="shared" si="37"/>
        <v>1</v>
      </c>
      <c r="O87" s="1">
        <f t="shared" si="38"/>
        <v>1701</v>
      </c>
    </row>
    <row r="88" spans="1:15" x14ac:dyDescent="0.25">
      <c r="A88" s="1">
        <v>1986</v>
      </c>
      <c r="B88" s="2" t="s">
        <v>23</v>
      </c>
      <c r="C88" s="4" t="s">
        <v>156</v>
      </c>
      <c r="D88" s="1" t="b">
        <f t="shared" ref="D88:D123" si="39">C88&amp;"0000" = B88</f>
        <v>1</v>
      </c>
      <c r="E88" s="1" t="str">
        <f t="shared" si="29"/>
        <v>00000000011011010100</v>
      </c>
      <c r="F88" s="1" t="str">
        <f t="shared" si="30"/>
        <v>0000</v>
      </c>
      <c r="G88" s="1" t="str">
        <f t="shared" si="31"/>
        <v>011011010100</v>
      </c>
      <c r="H88" s="1">
        <f t="shared" si="32"/>
        <v>0</v>
      </c>
      <c r="I88" s="1" t="str">
        <f t="shared" si="33"/>
        <v>0011011010100</v>
      </c>
      <c r="J88" s="1">
        <f t="shared" si="34"/>
        <v>0</v>
      </c>
      <c r="K88" s="1" t="str">
        <f t="shared" si="35"/>
        <v>0000011011010100</v>
      </c>
      <c r="M88" s="1" t="str">
        <f t="shared" si="36"/>
        <v>00000000011011010100</v>
      </c>
      <c r="N88" s="1" t="b">
        <f t="shared" si="37"/>
        <v>1</v>
      </c>
      <c r="O88" s="1">
        <f t="shared" si="38"/>
        <v>1748</v>
      </c>
    </row>
    <row r="89" spans="1:15" x14ac:dyDescent="0.25">
      <c r="A89" s="1">
        <v>1987</v>
      </c>
      <c r="B89" s="2" t="s">
        <v>77</v>
      </c>
      <c r="C89" s="4" t="s">
        <v>212</v>
      </c>
      <c r="D89" s="1" t="b">
        <f t="shared" si="39"/>
        <v>0</v>
      </c>
      <c r="E89" s="1" t="str">
        <f t="shared" si="29"/>
        <v>01100001010110110100</v>
      </c>
      <c r="F89" s="1" t="str">
        <f t="shared" si="30"/>
        <v>0110</v>
      </c>
      <c r="G89" s="1" t="str">
        <f t="shared" si="31"/>
        <v>101011110100</v>
      </c>
      <c r="H89" s="1">
        <f t="shared" si="32"/>
        <v>0</v>
      </c>
      <c r="I89" s="1" t="str">
        <f t="shared" si="33"/>
        <v>1010110110100</v>
      </c>
      <c r="J89" s="1">
        <f t="shared" si="34"/>
        <v>6</v>
      </c>
      <c r="K89" s="1" t="str">
        <f t="shared" si="35"/>
        <v>0001010110110100</v>
      </c>
      <c r="M89" s="1" t="str">
        <f t="shared" si="36"/>
        <v>01100001010110110100</v>
      </c>
      <c r="N89" s="1" t="b">
        <f t="shared" si="37"/>
        <v>1</v>
      </c>
      <c r="O89" s="1">
        <f t="shared" si="38"/>
        <v>398772</v>
      </c>
    </row>
    <row r="90" spans="1:15" x14ac:dyDescent="0.25">
      <c r="A90" s="1">
        <v>1988</v>
      </c>
      <c r="B90" s="2" t="s">
        <v>78</v>
      </c>
      <c r="C90" s="4" t="s">
        <v>213</v>
      </c>
      <c r="D90" s="1" t="b">
        <f t="shared" si="39"/>
        <v>1</v>
      </c>
      <c r="E90" s="1" t="str">
        <f t="shared" si="29"/>
        <v>00000000101010110110</v>
      </c>
      <c r="F90" s="1" t="str">
        <f t="shared" si="30"/>
        <v>0000</v>
      </c>
      <c r="G90" s="1" t="str">
        <f t="shared" si="31"/>
        <v>101010110110</v>
      </c>
      <c r="H90" s="1">
        <f t="shared" si="32"/>
        <v>0</v>
      </c>
      <c r="I90" s="1" t="str">
        <f t="shared" si="33"/>
        <v>0101010110110</v>
      </c>
      <c r="J90" s="1">
        <f t="shared" si="34"/>
        <v>0</v>
      </c>
      <c r="K90" s="1" t="str">
        <f t="shared" si="35"/>
        <v>0000101010110110</v>
      </c>
      <c r="M90" s="1" t="str">
        <f t="shared" si="36"/>
        <v>00000000101010110110</v>
      </c>
      <c r="N90" s="1" t="b">
        <f t="shared" si="37"/>
        <v>1</v>
      </c>
      <c r="O90" s="1">
        <f t="shared" si="38"/>
        <v>2742</v>
      </c>
    </row>
    <row r="91" spans="1:15" x14ac:dyDescent="0.25">
      <c r="A91" s="1">
        <v>1989</v>
      </c>
      <c r="B91" s="2" t="s">
        <v>26</v>
      </c>
      <c r="C91" s="4" t="s">
        <v>159</v>
      </c>
      <c r="D91" s="1" t="b">
        <f t="shared" si="39"/>
        <v>1</v>
      </c>
      <c r="E91" s="1" t="str">
        <f t="shared" si="29"/>
        <v>00000000100101010111</v>
      </c>
      <c r="F91" s="1" t="str">
        <f t="shared" si="30"/>
        <v>0000</v>
      </c>
      <c r="G91" s="1" t="str">
        <f t="shared" si="31"/>
        <v>100101010111</v>
      </c>
      <c r="H91" s="1">
        <f t="shared" si="32"/>
        <v>0</v>
      </c>
      <c r="I91" s="1" t="str">
        <f t="shared" si="33"/>
        <v>0100101010111</v>
      </c>
      <c r="J91" s="1">
        <f t="shared" si="34"/>
        <v>0</v>
      </c>
      <c r="K91" s="1" t="str">
        <f t="shared" si="35"/>
        <v>0000100101010111</v>
      </c>
      <c r="M91" s="1" t="str">
        <f t="shared" si="36"/>
        <v>00000000100101010111</v>
      </c>
      <c r="N91" s="1" t="b">
        <f t="shared" si="37"/>
        <v>1</v>
      </c>
      <c r="O91" s="1">
        <f t="shared" si="38"/>
        <v>2391</v>
      </c>
    </row>
    <row r="92" spans="1:15" x14ac:dyDescent="0.25">
      <c r="A92" s="1">
        <v>1990</v>
      </c>
      <c r="B92" s="2" t="s">
        <v>79</v>
      </c>
      <c r="C92" s="4" t="s">
        <v>214</v>
      </c>
      <c r="D92" s="1" t="b">
        <f t="shared" si="39"/>
        <v>0</v>
      </c>
      <c r="E92" s="1" t="str">
        <f t="shared" si="29"/>
        <v>01010000100100101111</v>
      </c>
      <c r="F92" s="1" t="str">
        <f t="shared" si="30"/>
        <v>0101</v>
      </c>
      <c r="G92" s="1" t="str">
        <f t="shared" si="31"/>
        <v>010010101111</v>
      </c>
      <c r="H92" s="1">
        <f t="shared" si="32"/>
        <v>0</v>
      </c>
      <c r="I92" s="1" t="str">
        <f t="shared" si="33"/>
        <v>0100100101111</v>
      </c>
      <c r="J92" s="1">
        <f t="shared" si="34"/>
        <v>5</v>
      </c>
      <c r="K92" s="1" t="str">
        <f t="shared" si="35"/>
        <v>0000100100101111</v>
      </c>
      <c r="M92" s="1" t="str">
        <f t="shared" si="36"/>
        <v>01010000100100101111</v>
      </c>
      <c r="N92" s="1" t="b">
        <f t="shared" si="37"/>
        <v>1</v>
      </c>
      <c r="O92" s="1">
        <f t="shared" si="38"/>
        <v>330031</v>
      </c>
    </row>
    <row r="93" spans="1:15" x14ac:dyDescent="0.25">
      <c r="A93" s="1">
        <v>1991</v>
      </c>
      <c r="B93" s="2" t="s">
        <v>28</v>
      </c>
      <c r="C93" s="4" t="s">
        <v>161</v>
      </c>
      <c r="D93" s="1" t="b">
        <f t="shared" si="39"/>
        <v>1</v>
      </c>
      <c r="E93" s="1" t="str">
        <f t="shared" si="29"/>
        <v>00000000010010010111</v>
      </c>
      <c r="F93" s="1" t="str">
        <f t="shared" si="30"/>
        <v>0000</v>
      </c>
      <c r="G93" s="1" t="str">
        <f t="shared" si="31"/>
        <v>010010010111</v>
      </c>
      <c r="H93" s="1">
        <f t="shared" si="32"/>
        <v>0</v>
      </c>
      <c r="I93" s="1" t="str">
        <f t="shared" si="33"/>
        <v>0010010010111</v>
      </c>
      <c r="J93" s="1">
        <f t="shared" si="34"/>
        <v>0</v>
      </c>
      <c r="K93" s="1" t="str">
        <f t="shared" si="35"/>
        <v>0000010010010111</v>
      </c>
      <c r="M93" s="1" t="str">
        <f t="shared" si="36"/>
        <v>00000000010010010111</v>
      </c>
      <c r="N93" s="1" t="b">
        <f t="shared" si="37"/>
        <v>1</v>
      </c>
      <c r="O93" s="1">
        <f t="shared" si="38"/>
        <v>1175</v>
      </c>
    </row>
    <row r="94" spans="1:15" x14ac:dyDescent="0.25">
      <c r="A94" s="1">
        <v>1992</v>
      </c>
      <c r="B94" s="2" t="s">
        <v>80</v>
      </c>
      <c r="C94" s="4" t="s">
        <v>215</v>
      </c>
      <c r="D94" s="1" t="b">
        <f t="shared" si="39"/>
        <v>1</v>
      </c>
      <c r="E94" s="1" t="str">
        <f t="shared" si="29"/>
        <v>00000000011001001011</v>
      </c>
      <c r="F94" s="1" t="str">
        <f t="shared" si="30"/>
        <v>0000</v>
      </c>
      <c r="G94" s="1" t="str">
        <f t="shared" si="31"/>
        <v>011001001011</v>
      </c>
      <c r="H94" s="1">
        <f t="shared" si="32"/>
        <v>0</v>
      </c>
      <c r="I94" s="1" t="str">
        <f t="shared" si="33"/>
        <v>0011001001011</v>
      </c>
      <c r="J94" s="1">
        <f t="shared" si="34"/>
        <v>0</v>
      </c>
      <c r="K94" s="1" t="str">
        <f t="shared" si="35"/>
        <v>0000011001001011</v>
      </c>
      <c r="M94" s="1" t="str">
        <f t="shared" si="36"/>
        <v>00000000011001001011</v>
      </c>
      <c r="N94" s="1" t="b">
        <f t="shared" si="37"/>
        <v>1</v>
      </c>
      <c r="O94" s="1">
        <f t="shared" si="38"/>
        <v>1611</v>
      </c>
    </row>
    <row r="95" spans="1:15" x14ac:dyDescent="0.25">
      <c r="A95" s="1">
        <v>1993</v>
      </c>
      <c r="B95" s="2" t="s">
        <v>81</v>
      </c>
      <c r="C95" s="4" t="s">
        <v>216</v>
      </c>
      <c r="D95" s="1" t="b">
        <f t="shared" si="39"/>
        <v>0</v>
      </c>
      <c r="E95" s="1" t="str">
        <f t="shared" si="29"/>
        <v>00110000110101001010</v>
      </c>
      <c r="F95" s="1" t="str">
        <f t="shared" si="30"/>
        <v>0011</v>
      </c>
      <c r="G95" s="1" t="str">
        <f t="shared" si="31"/>
        <v>011101001010</v>
      </c>
      <c r="H95" s="1">
        <f t="shared" si="32"/>
        <v>0</v>
      </c>
      <c r="I95" s="1" t="str">
        <f t="shared" si="33"/>
        <v>0110101001010</v>
      </c>
      <c r="J95" s="1">
        <f t="shared" si="34"/>
        <v>3</v>
      </c>
      <c r="K95" s="1" t="str">
        <f t="shared" si="35"/>
        <v>0000110101001010</v>
      </c>
      <c r="M95" s="1" t="str">
        <f t="shared" si="36"/>
        <v>00110000110101001010</v>
      </c>
      <c r="N95" s="1" t="b">
        <f t="shared" si="37"/>
        <v>1</v>
      </c>
      <c r="O95" s="1">
        <f t="shared" si="38"/>
        <v>200010</v>
      </c>
    </row>
    <row r="96" spans="1:15" x14ac:dyDescent="0.25">
      <c r="A96" s="1">
        <v>1994</v>
      </c>
      <c r="B96" s="2" t="s">
        <v>31</v>
      </c>
      <c r="C96" s="4" t="s">
        <v>164</v>
      </c>
      <c r="D96" s="1" t="b">
        <f t="shared" si="39"/>
        <v>1</v>
      </c>
      <c r="E96" s="1" t="str">
        <f t="shared" si="29"/>
        <v>00000000111010100101</v>
      </c>
      <c r="F96" s="1" t="str">
        <f t="shared" si="30"/>
        <v>0000</v>
      </c>
      <c r="G96" s="1" t="str">
        <f t="shared" si="31"/>
        <v>111010100101</v>
      </c>
      <c r="H96" s="1">
        <f t="shared" si="32"/>
        <v>0</v>
      </c>
      <c r="I96" s="1" t="str">
        <f t="shared" si="33"/>
        <v>0111010100101</v>
      </c>
      <c r="J96" s="1">
        <f t="shared" si="34"/>
        <v>0</v>
      </c>
      <c r="K96" s="1" t="str">
        <f t="shared" si="35"/>
        <v>0000111010100101</v>
      </c>
      <c r="M96" s="1" t="str">
        <f t="shared" si="36"/>
        <v>00000000111010100101</v>
      </c>
      <c r="N96" s="1" t="b">
        <f t="shared" si="37"/>
        <v>1</v>
      </c>
      <c r="O96" s="1">
        <f t="shared" si="38"/>
        <v>3749</v>
      </c>
    </row>
    <row r="97" spans="1:15" x14ac:dyDescent="0.25">
      <c r="A97" s="1">
        <v>1995</v>
      </c>
      <c r="B97" s="2" t="s">
        <v>82</v>
      </c>
      <c r="C97" s="4" t="s">
        <v>217</v>
      </c>
      <c r="D97" s="1" t="b">
        <f t="shared" si="39"/>
        <v>0</v>
      </c>
      <c r="E97" s="1" t="str">
        <f t="shared" si="29"/>
        <v>10000000110101100101</v>
      </c>
      <c r="F97" s="1" t="str">
        <f t="shared" si="30"/>
        <v>1000</v>
      </c>
      <c r="G97" s="1" t="str">
        <f t="shared" si="31"/>
        <v>011010110101</v>
      </c>
      <c r="H97" s="1">
        <f t="shared" si="32"/>
        <v>0</v>
      </c>
      <c r="I97" s="1" t="str">
        <f t="shared" si="33"/>
        <v>0110101100101</v>
      </c>
      <c r="J97" s="1">
        <f t="shared" si="34"/>
        <v>8</v>
      </c>
      <c r="K97" s="1" t="str">
        <f t="shared" si="35"/>
        <v>0000110101100101</v>
      </c>
      <c r="M97" s="1" t="str">
        <f t="shared" si="36"/>
        <v>10000000110101100101</v>
      </c>
      <c r="N97" s="1" t="b">
        <f t="shared" si="37"/>
        <v>1</v>
      </c>
      <c r="O97" s="1">
        <f t="shared" si="38"/>
        <v>527717</v>
      </c>
    </row>
    <row r="98" spans="1:15" x14ac:dyDescent="0.25">
      <c r="A98" s="1">
        <v>1996</v>
      </c>
      <c r="B98" s="2" t="s">
        <v>83</v>
      </c>
      <c r="C98" s="4" t="s">
        <v>218</v>
      </c>
      <c r="D98" s="1" t="b">
        <f t="shared" si="39"/>
        <v>1</v>
      </c>
      <c r="E98" s="1" t="str">
        <f t="shared" si="29"/>
        <v>00000000010110101100</v>
      </c>
      <c r="F98" s="1" t="str">
        <f t="shared" si="30"/>
        <v>0000</v>
      </c>
      <c r="G98" s="1" t="str">
        <f t="shared" si="31"/>
        <v>010110101100</v>
      </c>
      <c r="H98" s="1">
        <f t="shared" si="32"/>
        <v>0</v>
      </c>
      <c r="I98" s="1" t="str">
        <f t="shared" si="33"/>
        <v>0010110101100</v>
      </c>
      <c r="J98" s="1">
        <f t="shared" si="34"/>
        <v>0</v>
      </c>
      <c r="K98" s="1" t="str">
        <f t="shared" si="35"/>
        <v>0000010110101100</v>
      </c>
      <c r="M98" s="1" t="str">
        <f t="shared" si="36"/>
        <v>00000000010110101100</v>
      </c>
      <c r="N98" s="1" t="b">
        <f t="shared" si="37"/>
        <v>1</v>
      </c>
      <c r="O98" s="1">
        <f t="shared" si="38"/>
        <v>1452</v>
      </c>
    </row>
    <row r="99" spans="1:15" x14ac:dyDescent="0.25">
      <c r="A99" s="1">
        <v>1997</v>
      </c>
      <c r="B99" s="2" t="s">
        <v>78</v>
      </c>
      <c r="C99" s="4" t="s">
        <v>213</v>
      </c>
      <c r="D99" s="1" t="b">
        <f t="shared" si="39"/>
        <v>1</v>
      </c>
      <c r="E99" s="1" t="str">
        <f t="shared" si="29"/>
        <v>00000000101010110110</v>
      </c>
      <c r="F99" s="1" t="str">
        <f t="shared" si="30"/>
        <v>0000</v>
      </c>
      <c r="G99" s="1" t="str">
        <f t="shared" si="31"/>
        <v>101010110110</v>
      </c>
      <c r="H99" s="1">
        <f t="shared" si="32"/>
        <v>0</v>
      </c>
      <c r="I99" s="1" t="str">
        <f t="shared" si="33"/>
        <v>0101010110110</v>
      </c>
      <c r="J99" s="1">
        <f t="shared" si="34"/>
        <v>0</v>
      </c>
      <c r="K99" s="1" t="str">
        <f t="shared" si="35"/>
        <v>0000101010110110</v>
      </c>
      <c r="M99" s="1" t="str">
        <f t="shared" si="36"/>
        <v>00000000101010110110</v>
      </c>
      <c r="N99" s="1" t="b">
        <f t="shared" si="37"/>
        <v>1</v>
      </c>
      <c r="O99" s="1">
        <f t="shared" si="38"/>
        <v>2742</v>
      </c>
    </row>
    <row r="100" spans="1:15" x14ac:dyDescent="0.25">
      <c r="A100" s="1">
        <v>1998</v>
      </c>
      <c r="B100" s="2" t="s">
        <v>84</v>
      </c>
      <c r="C100" s="4" t="s">
        <v>219</v>
      </c>
      <c r="D100" s="1" t="b">
        <f t="shared" si="39"/>
        <v>0</v>
      </c>
      <c r="E100" s="1" t="str">
        <f t="shared" si="29"/>
        <v>01010001001001101101</v>
      </c>
      <c r="F100" s="1" t="str">
        <f t="shared" si="30"/>
        <v>0101</v>
      </c>
      <c r="G100" s="1" t="str">
        <f t="shared" si="31"/>
        <v>100101101101</v>
      </c>
      <c r="H100" s="1">
        <f t="shared" si="32"/>
        <v>0</v>
      </c>
      <c r="I100" s="1" t="str">
        <f t="shared" si="33"/>
        <v>1001001101101</v>
      </c>
      <c r="J100" s="1">
        <f t="shared" si="34"/>
        <v>5</v>
      </c>
      <c r="K100" s="1" t="str">
        <f t="shared" si="35"/>
        <v>0001001001101101</v>
      </c>
      <c r="M100" s="1" t="str">
        <f t="shared" si="36"/>
        <v>01010001001001101101</v>
      </c>
      <c r="N100" s="1" t="b">
        <f t="shared" si="37"/>
        <v>1</v>
      </c>
      <c r="O100" s="1">
        <f t="shared" si="38"/>
        <v>332397</v>
      </c>
    </row>
    <row r="101" spans="1:15" x14ac:dyDescent="0.25">
      <c r="A101" s="1">
        <v>1999</v>
      </c>
      <c r="B101" s="2" t="s">
        <v>85</v>
      </c>
      <c r="C101" s="4" t="s">
        <v>168</v>
      </c>
      <c r="D101" s="1" t="b">
        <f t="shared" si="39"/>
        <v>1</v>
      </c>
      <c r="E101" s="1" t="str">
        <f t="shared" si="29"/>
        <v>00000000100100101110</v>
      </c>
      <c r="F101" s="1" t="str">
        <f t="shared" si="30"/>
        <v>0000</v>
      </c>
      <c r="G101" s="1" t="str">
        <f t="shared" si="31"/>
        <v>100100101110</v>
      </c>
      <c r="H101" s="1">
        <f t="shared" si="32"/>
        <v>0</v>
      </c>
      <c r="I101" s="1" t="str">
        <f t="shared" si="33"/>
        <v>0100100101110</v>
      </c>
      <c r="J101" s="1">
        <f t="shared" si="34"/>
        <v>0</v>
      </c>
      <c r="K101" s="1" t="str">
        <f t="shared" si="35"/>
        <v>0000100100101110</v>
      </c>
      <c r="M101" s="1" t="str">
        <f t="shared" si="36"/>
        <v>00000000100100101110</v>
      </c>
      <c r="N101" s="1" t="b">
        <f t="shared" si="37"/>
        <v>1</v>
      </c>
      <c r="O101" s="1">
        <f t="shared" si="38"/>
        <v>2350</v>
      </c>
    </row>
    <row r="102" spans="1:15" x14ac:dyDescent="0.25">
      <c r="A102" s="1">
        <v>2000</v>
      </c>
      <c r="B102" s="2" t="s">
        <v>86</v>
      </c>
      <c r="C102" s="4" t="s">
        <v>220</v>
      </c>
      <c r="D102" s="1" t="b">
        <f t="shared" si="39"/>
        <v>1</v>
      </c>
      <c r="E102" s="1" t="str">
        <f t="shared" si="29"/>
        <v>00000000110010010110</v>
      </c>
      <c r="F102" s="1" t="str">
        <f t="shared" si="30"/>
        <v>0000</v>
      </c>
      <c r="G102" s="1" t="str">
        <f t="shared" si="31"/>
        <v>110010010110</v>
      </c>
      <c r="H102" s="1">
        <f t="shared" si="32"/>
        <v>0</v>
      </c>
      <c r="I102" s="1" t="str">
        <f t="shared" si="33"/>
        <v>0110010010110</v>
      </c>
      <c r="J102" s="1">
        <f t="shared" si="34"/>
        <v>0</v>
      </c>
      <c r="K102" s="1" t="str">
        <f t="shared" si="35"/>
        <v>0000110010010110</v>
      </c>
      <c r="M102" s="1" t="str">
        <f t="shared" si="36"/>
        <v>00000000110010010110</v>
      </c>
      <c r="N102" s="1" t="b">
        <f t="shared" si="37"/>
        <v>1</v>
      </c>
      <c r="O102" s="1">
        <f t="shared" si="38"/>
        <v>3222</v>
      </c>
    </row>
    <row r="103" spans="1:15" x14ac:dyDescent="0.25">
      <c r="A103" s="1">
        <v>2001</v>
      </c>
      <c r="B103" s="2" t="s">
        <v>87</v>
      </c>
      <c r="C103" s="4" t="s">
        <v>221</v>
      </c>
      <c r="D103" s="1" t="b">
        <f t="shared" si="39"/>
        <v>0</v>
      </c>
      <c r="E103" s="1" t="str">
        <f t="shared" si="29"/>
        <v>01000001101010010101</v>
      </c>
      <c r="F103" s="1" t="str">
        <f t="shared" si="30"/>
        <v>0100</v>
      </c>
      <c r="G103" s="1" t="str">
        <f t="shared" si="31"/>
        <v>110110010101</v>
      </c>
      <c r="H103" s="1">
        <f t="shared" si="32"/>
        <v>0</v>
      </c>
      <c r="I103" s="1" t="str">
        <f t="shared" si="33"/>
        <v>1101010010101</v>
      </c>
      <c r="J103" s="1">
        <f t="shared" si="34"/>
        <v>4</v>
      </c>
      <c r="K103" s="1" t="str">
        <f t="shared" si="35"/>
        <v>0001101010010101</v>
      </c>
      <c r="M103" s="1" t="str">
        <f t="shared" si="36"/>
        <v>01000001101010010101</v>
      </c>
      <c r="N103" s="1" t="b">
        <f t="shared" si="37"/>
        <v>1</v>
      </c>
      <c r="O103" s="1">
        <f t="shared" si="38"/>
        <v>268949</v>
      </c>
    </row>
    <row r="104" spans="1:15" x14ac:dyDescent="0.25">
      <c r="A104" s="1">
        <v>2002</v>
      </c>
      <c r="B104" s="2" t="s">
        <v>30</v>
      </c>
      <c r="C104" s="4" t="s">
        <v>163</v>
      </c>
      <c r="D104" s="1" t="b">
        <f t="shared" si="39"/>
        <v>1</v>
      </c>
      <c r="E104" s="1" t="str">
        <f t="shared" si="29"/>
        <v>00000000110101001010</v>
      </c>
      <c r="F104" s="1" t="str">
        <f t="shared" si="30"/>
        <v>0000</v>
      </c>
      <c r="G104" s="1" t="str">
        <f t="shared" si="31"/>
        <v>110101001010</v>
      </c>
      <c r="H104" s="1">
        <f t="shared" si="32"/>
        <v>0</v>
      </c>
      <c r="I104" s="1" t="str">
        <f t="shared" si="33"/>
        <v>0110101001010</v>
      </c>
      <c r="J104" s="1">
        <f t="shared" si="34"/>
        <v>0</v>
      </c>
      <c r="K104" s="1" t="str">
        <f t="shared" si="35"/>
        <v>0000110101001010</v>
      </c>
      <c r="M104" s="1" t="str">
        <f t="shared" si="36"/>
        <v>00000000110101001010</v>
      </c>
      <c r="N104" s="1" t="b">
        <f t="shared" si="37"/>
        <v>1</v>
      </c>
      <c r="O104" s="1">
        <f t="shared" si="38"/>
        <v>3402</v>
      </c>
    </row>
    <row r="105" spans="1:15" x14ac:dyDescent="0.25">
      <c r="A105" s="1">
        <v>2003</v>
      </c>
      <c r="B105" s="2" t="s">
        <v>88</v>
      </c>
      <c r="C105" s="4" t="s">
        <v>222</v>
      </c>
      <c r="D105" s="1" t="b">
        <f t="shared" si="39"/>
        <v>1</v>
      </c>
      <c r="E105" s="1" t="str">
        <f t="shared" si="29"/>
        <v>00000000110110100101</v>
      </c>
      <c r="F105" s="1" t="str">
        <f t="shared" si="30"/>
        <v>0000</v>
      </c>
      <c r="G105" s="1" t="str">
        <f t="shared" si="31"/>
        <v>110110100101</v>
      </c>
      <c r="H105" s="1">
        <f t="shared" si="32"/>
        <v>0</v>
      </c>
      <c r="I105" s="1" t="str">
        <f t="shared" si="33"/>
        <v>0110110100101</v>
      </c>
      <c r="J105" s="1">
        <f t="shared" si="34"/>
        <v>0</v>
      </c>
      <c r="K105" s="1" t="str">
        <f t="shared" si="35"/>
        <v>0000110110100101</v>
      </c>
      <c r="M105" s="1" t="str">
        <f t="shared" si="36"/>
        <v>00000000110110100101</v>
      </c>
      <c r="N105" s="1" t="b">
        <f t="shared" si="37"/>
        <v>1</v>
      </c>
      <c r="O105" s="1">
        <f t="shared" si="38"/>
        <v>3493</v>
      </c>
    </row>
    <row r="106" spans="1:15" x14ac:dyDescent="0.25">
      <c r="A106" s="1">
        <v>2004</v>
      </c>
      <c r="B106" s="2" t="s">
        <v>89</v>
      </c>
      <c r="C106" s="4" t="s">
        <v>223</v>
      </c>
      <c r="D106" s="1" t="b">
        <f t="shared" si="39"/>
        <v>0</v>
      </c>
      <c r="E106" s="1" t="str">
        <f t="shared" si="29"/>
        <v>00100000101101010101</v>
      </c>
      <c r="F106" s="1" t="str">
        <f t="shared" si="30"/>
        <v>0010</v>
      </c>
      <c r="G106" s="1" t="str">
        <f t="shared" si="31"/>
        <v>011101010101</v>
      </c>
      <c r="H106" s="1">
        <f t="shared" si="32"/>
        <v>0</v>
      </c>
      <c r="I106" s="1" t="str">
        <f t="shared" si="33"/>
        <v>0101101010101</v>
      </c>
      <c r="J106" s="1">
        <f t="shared" si="34"/>
        <v>2</v>
      </c>
      <c r="K106" s="1" t="str">
        <f t="shared" si="35"/>
        <v>0000101101010101</v>
      </c>
      <c r="M106" s="1" t="str">
        <f t="shared" si="36"/>
        <v>00100000101101010101</v>
      </c>
      <c r="N106" s="1" t="b">
        <f t="shared" si="37"/>
        <v>1</v>
      </c>
      <c r="O106" s="1">
        <f t="shared" si="38"/>
        <v>133973</v>
      </c>
    </row>
    <row r="107" spans="1:15" x14ac:dyDescent="0.25">
      <c r="A107" s="1">
        <v>2005</v>
      </c>
      <c r="B107" s="2" t="s">
        <v>41</v>
      </c>
      <c r="C107" s="4" t="s">
        <v>173</v>
      </c>
      <c r="D107" s="1" t="b">
        <f t="shared" si="39"/>
        <v>1</v>
      </c>
      <c r="E107" s="1" t="str">
        <f t="shared" si="29"/>
        <v>00000000010101101010</v>
      </c>
      <c r="F107" s="1" t="str">
        <f t="shared" si="30"/>
        <v>0000</v>
      </c>
      <c r="G107" s="1" t="str">
        <f t="shared" si="31"/>
        <v>010101101010</v>
      </c>
      <c r="H107" s="1">
        <f t="shared" si="32"/>
        <v>0</v>
      </c>
      <c r="I107" s="1" t="str">
        <f t="shared" si="33"/>
        <v>0010101101010</v>
      </c>
      <c r="J107" s="1">
        <f t="shared" si="34"/>
        <v>0</v>
      </c>
      <c r="K107" s="1" t="str">
        <f t="shared" si="35"/>
        <v>0000010101101010</v>
      </c>
      <c r="M107" s="1" t="str">
        <f t="shared" si="36"/>
        <v>00000000010101101010</v>
      </c>
      <c r="N107" s="1" t="b">
        <f t="shared" si="37"/>
        <v>1</v>
      </c>
      <c r="O107" s="1">
        <f t="shared" si="38"/>
        <v>1386</v>
      </c>
    </row>
    <row r="108" spans="1:15" x14ac:dyDescent="0.25">
      <c r="A108" s="1">
        <v>2006</v>
      </c>
      <c r="B108" s="2" t="s">
        <v>90</v>
      </c>
      <c r="C108" s="4" t="s">
        <v>224</v>
      </c>
      <c r="D108" s="1" t="b">
        <f t="shared" si="39"/>
        <v>0</v>
      </c>
      <c r="E108" s="1" t="str">
        <f t="shared" si="29"/>
        <v>01110001010101011011</v>
      </c>
      <c r="F108" s="1" t="str">
        <f t="shared" si="30"/>
        <v>0111</v>
      </c>
      <c r="G108" s="1" t="str">
        <f t="shared" si="31"/>
        <v>101010111011</v>
      </c>
      <c r="H108" s="1">
        <f t="shared" si="32"/>
        <v>0</v>
      </c>
      <c r="I108" s="1" t="str">
        <f t="shared" si="33"/>
        <v>1010101011011</v>
      </c>
      <c r="J108" s="1">
        <f t="shared" si="34"/>
        <v>7</v>
      </c>
      <c r="K108" s="1" t="str">
        <f t="shared" si="35"/>
        <v>0001010101011011</v>
      </c>
      <c r="M108" s="1" t="str">
        <f t="shared" si="36"/>
        <v>01110001010101011011</v>
      </c>
      <c r="N108" s="1" t="b">
        <f t="shared" si="37"/>
        <v>1</v>
      </c>
      <c r="O108" s="1">
        <f t="shared" si="38"/>
        <v>464219</v>
      </c>
    </row>
    <row r="109" spans="1:15" x14ac:dyDescent="0.25">
      <c r="A109" s="1">
        <v>2007</v>
      </c>
      <c r="B109" s="2" t="s">
        <v>91</v>
      </c>
      <c r="C109" s="4" t="s">
        <v>175</v>
      </c>
      <c r="D109" s="1" t="b">
        <f t="shared" si="39"/>
        <v>1</v>
      </c>
      <c r="E109" s="1" t="str">
        <f t="shared" si="29"/>
        <v>00000000001001011101</v>
      </c>
      <c r="F109" s="1" t="str">
        <f t="shared" si="30"/>
        <v>0000</v>
      </c>
      <c r="G109" s="1" t="str">
        <f t="shared" si="31"/>
        <v>001001011101</v>
      </c>
      <c r="H109" s="1">
        <f t="shared" si="32"/>
        <v>0</v>
      </c>
      <c r="I109" s="1" t="str">
        <f t="shared" si="33"/>
        <v>0001001011101</v>
      </c>
      <c r="J109" s="1">
        <f t="shared" si="34"/>
        <v>0</v>
      </c>
      <c r="K109" s="1" t="str">
        <f t="shared" si="35"/>
        <v>0000001001011101</v>
      </c>
      <c r="M109" s="1" t="str">
        <f t="shared" si="36"/>
        <v>00000000001001011101</v>
      </c>
      <c r="N109" s="1" t="b">
        <f t="shared" si="37"/>
        <v>1</v>
      </c>
      <c r="O109" s="1">
        <f t="shared" si="38"/>
        <v>605</v>
      </c>
    </row>
    <row r="110" spans="1:15" x14ac:dyDescent="0.25">
      <c r="A110" s="1">
        <v>2008</v>
      </c>
      <c r="B110" s="2" t="s">
        <v>44</v>
      </c>
      <c r="C110" s="4" t="s">
        <v>176</v>
      </c>
      <c r="D110" s="1" t="b">
        <f t="shared" si="39"/>
        <v>1</v>
      </c>
      <c r="E110" s="1" t="str">
        <f t="shared" si="29"/>
        <v>00000000100100101101</v>
      </c>
      <c r="F110" s="1" t="str">
        <f t="shared" si="30"/>
        <v>0000</v>
      </c>
      <c r="G110" s="1" t="str">
        <f t="shared" si="31"/>
        <v>100100101101</v>
      </c>
      <c r="H110" s="1">
        <f t="shared" si="32"/>
        <v>0</v>
      </c>
      <c r="I110" s="1" t="str">
        <f t="shared" si="33"/>
        <v>0100100101101</v>
      </c>
      <c r="J110" s="1">
        <f t="shared" si="34"/>
        <v>0</v>
      </c>
      <c r="K110" s="1" t="str">
        <f t="shared" si="35"/>
        <v>0000100100101101</v>
      </c>
      <c r="M110" s="1" t="str">
        <f t="shared" si="36"/>
        <v>00000000100100101101</v>
      </c>
      <c r="N110" s="1" t="b">
        <f t="shared" si="37"/>
        <v>1</v>
      </c>
      <c r="O110" s="1">
        <f t="shared" si="38"/>
        <v>2349</v>
      </c>
    </row>
    <row r="111" spans="1:15" x14ac:dyDescent="0.25">
      <c r="A111" s="1">
        <v>2009</v>
      </c>
      <c r="B111" s="2" t="s">
        <v>92</v>
      </c>
      <c r="C111" s="4" t="s">
        <v>225</v>
      </c>
      <c r="D111" s="1" t="b">
        <f t="shared" si="39"/>
        <v>0</v>
      </c>
      <c r="E111" s="1" t="str">
        <f t="shared" si="29"/>
        <v>01010001100100101011</v>
      </c>
      <c r="F111" s="1" t="str">
        <f t="shared" si="30"/>
        <v>0101</v>
      </c>
      <c r="G111" s="1" t="str">
        <f t="shared" si="31"/>
        <v>110010101011</v>
      </c>
      <c r="H111" s="1">
        <f t="shared" si="32"/>
        <v>0</v>
      </c>
      <c r="I111" s="1" t="str">
        <f t="shared" si="33"/>
        <v>1100100101011</v>
      </c>
      <c r="J111" s="1">
        <f t="shared" si="34"/>
        <v>5</v>
      </c>
      <c r="K111" s="1" t="str">
        <f t="shared" si="35"/>
        <v>0001100100101011</v>
      </c>
      <c r="M111" s="1" t="str">
        <f t="shared" si="36"/>
        <v>01010001100100101011</v>
      </c>
      <c r="N111" s="1" t="b">
        <f t="shared" si="37"/>
        <v>1</v>
      </c>
      <c r="O111" s="1">
        <f t="shared" si="38"/>
        <v>334123</v>
      </c>
    </row>
    <row r="112" spans="1:15" x14ac:dyDescent="0.25">
      <c r="A112" s="1">
        <v>2010</v>
      </c>
      <c r="B112" s="2" t="s">
        <v>46</v>
      </c>
      <c r="C112" s="4" t="s">
        <v>178</v>
      </c>
      <c r="D112" s="1" t="b">
        <f t="shared" si="39"/>
        <v>1</v>
      </c>
      <c r="E112" s="1" t="str">
        <f t="shared" si="29"/>
        <v>00000000101010010101</v>
      </c>
      <c r="F112" s="1" t="str">
        <f t="shared" si="30"/>
        <v>0000</v>
      </c>
      <c r="G112" s="1" t="str">
        <f t="shared" si="31"/>
        <v>101010010101</v>
      </c>
      <c r="H112" s="1">
        <f t="shared" si="32"/>
        <v>0</v>
      </c>
      <c r="I112" s="1" t="str">
        <f t="shared" si="33"/>
        <v>0101010010101</v>
      </c>
      <c r="J112" s="1">
        <f t="shared" si="34"/>
        <v>0</v>
      </c>
      <c r="K112" s="1" t="str">
        <f t="shared" si="35"/>
        <v>0000101010010101</v>
      </c>
      <c r="M112" s="1" t="str">
        <f t="shared" si="36"/>
        <v>00000000101010010101</v>
      </c>
      <c r="N112" s="1" t="b">
        <f t="shared" si="37"/>
        <v>1</v>
      </c>
      <c r="O112" s="1">
        <f t="shared" si="38"/>
        <v>2709</v>
      </c>
    </row>
    <row r="113" spans="1:15" x14ac:dyDescent="0.25">
      <c r="A113" s="1">
        <v>2011</v>
      </c>
      <c r="B113" s="2" t="s">
        <v>93</v>
      </c>
      <c r="C113" s="4" t="s">
        <v>226</v>
      </c>
      <c r="D113" s="1" t="b">
        <f t="shared" si="39"/>
        <v>1</v>
      </c>
      <c r="E113" s="1" t="str">
        <f t="shared" si="29"/>
        <v>00000000101101001010</v>
      </c>
      <c r="F113" s="1" t="str">
        <f t="shared" si="30"/>
        <v>0000</v>
      </c>
      <c r="G113" s="1" t="str">
        <f t="shared" si="31"/>
        <v>101101001010</v>
      </c>
      <c r="H113" s="1">
        <f t="shared" si="32"/>
        <v>0</v>
      </c>
      <c r="I113" s="1" t="str">
        <f t="shared" si="33"/>
        <v>0101101001010</v>
      </c>
      <c r="J113" s="1">
        <f t="shared" si="34"/>
        <v>0</v>
      </c>
      <c r="K113" s="1" t="str">
        <f t="shared" si="35"/>
        <v>0000101101001010</v>
      </c>
      <c r="M113" s="1" t="str">
        <f t="shared" si="36"/>
        <v>00000000101101001010</v>
      </c>
      <c r="N113" s="1" t="b">
        <f t="shared" si="37"/>
        <v>1</v>
      </c>
      <c r="O113" s="1">
        <f t="shared" si="38"/>
        <v>2890</v>
      </c>
    </row>
    <row r="114" spans="1:15" x14ac:dyDescent="0.25">
      <c r="A114" s="1">
        <v>2012</v>
      </c>
      <c r="B114" s="2" t="s">
        <v>94</v>
      </c>
      <c r="C114" s="4" t="s">
        <v>227</v>
      </c>
      <c r="D114" s="1" t="b">
        <f t="shared" si="39"/>
        <v>0</v>
      </c>
      <c r="E114" s="1" t="str">
        <f t="shared" si="29"/>
        <v>01000001011010101010</v>
      </c>
      <c r="F114" s="1" t="str">
        <f t="shared" si="30"/>
        <v>0100</v>
      </c>
      <c r="G114" s="1" t="str">
        <f t="shared" si="31"/>
        <v>101110101010</v>
      </c>
      <c r="H114" s="1">
        <f t="shared" si="32"/>
        <v>0</v>
      </c>
      <c r="I114" s="1" t="str">
        <f t="shared" si="33"/>
        <v>1011010101010</v>
      </c>
      <c r="J114" s="1">
        <f t="shared" si="34"/>
        <v>4</v>
      </c>
      <c r="K114" s="1" t="str">
        <f t="shared" si="35"/>
        <v>0001011010101010</v>
      </c>
      <c r="M114" s="1" t="str">
        <f t="shared" si="36"/>
        <v>01000001011010101010</v>
      </c>
      <c r="N114" s="1" t="b">
        <f t="shared" si="37"/>
        <v>1</v>
      </c>
      <c r="O114" s="1">
        <f t="shared" si="38"/>
        <v>267946</v>
      </c>
    </row>
    <row r="115" spans="1:15" x14ac:dyDescent="0.25">
      <c r="A115" s="1">
        <v>2013</v>
      </c>
      <c r="B115" s="2" t="s">
        <v>95</v>
      </c>
      <c r="C115" s="4" t="s">
        <v>228</v>
      </c>
      <c r="D115" s="1" t="b">
        <f t="shared" si="39"/>
        <v>1</v>
      </c>
      <c r="E115" s="1" t="str">
        <f t="shared" si="29"/>
        <v>00000000101011010101</v>
      </c>
      <c r="F115" s="1" t="str">
        <f t="shared" si="30"/>
        <v>0000</v>
      </c>
      <c r="G115" s="1" t="str">
        <f t="shared" si="31"/>
        <v>101011010101</v>
      </c>
      <c r="H115" s="1">
        <f t="shared" si="32"/>
        <v>0</v>
      </c>
      <c r="I115" s="1" t="str">
        <f t="shared" si="33"/>
        <v>0101011010101</v>
      </c>
      <c r="J115" s="1">
        <f t="shared" si="34"/>
        <v>0</v>
      </c>
      <c r="K115" s="1" t="str">
        <f t="shared" si="35"/>
        <v>0000101011010101</v>
      </c>
      <c r="M115" s="1" t="str">
        <f t="shared" si="36"/>
        <v>00000000101011010101</v>
      </c>
      <c r="N115" s="1" t="b">
        <f t="shared" si="37"/>
        <v>1</v>
      </c>
      <c r="O115" s="1">
        <f t="shared" si="38"/>
        <v>2773</v>
      </c>
    </row>
    <row r="116" spans="1:15" x14ac:dyDescent="0.25">
      <c r="A116" s="1">
        <v>2014</v>
      </c>
      <c r="B116" s="2" t="s">
        <v>96</v>
      </c>
      <c r="C116" s="4" t="s">
        <v>229</v>
      </c>
      <c r="D116" s="1" t="b">
        <f t="shared" si="39"/>
        <v>0</v>
      </c>
      <c r="E116" s="1" t="str">
        <f t="shared" si="29"/>
        <v>10010000101010110101</v>
      </c>
      <c r="F116" s="1" t="str">
        <f t="shared" si="30"/>
        <v>1001</v>
      </c>
      <c r="G116" s="1" t="str">
        <f t="shared" si="31"/>
        <v>010101011101</v>
      </c>
      <c r="H116" s="1">
        <f t="shared" si="32"/>
        <v>0</v>
      </c>
      <c r="I116" s="1" t="str">
        <f t="shared" si="33"/>
        <v>0101010110101</v>
      </c>
      <c r="J116" s="1">
        <f t="shared" si="34"/>
        <v>9</v>
      </c>
      <c r="K116" s="1" t="str">
        <f t="shared" si="35"/>
        <v>0000101010110101</v>
      </c>
      <c r="M116" s="1" t="str">
        <f t="shared" si="36"/>
        <v>10010000101010110101</v>
      </c>
      <c r="N116" s="1" t="b">
        <f t="shared" si="37"/>
        <v>1</v>
      </c>
      <c r="O116" s="1">
        <f t="shared" si="38"/>
        <v>592565</v>
      </c>
    </row>
    <row r="117" spans="1:15" x14ac:dyDescent="0.25">
      <c r="A117" s="1">
        <v>2015</v>
      </c>
      <c r="B117" s="2" t="s">
        <v>97</v>
      </c>
      <c r="C117" s="4" t="s">
        <v>230</v>
      </c>
      <c r="D117" s="1" t="b">
        <f t="shared" si="39"/>
        <v>1</v>
      </c>
      <c r="E117" s="1" t="str">
        <f t="shared" si="29"/>
        <v>00000000010010111010</v>
      </c>
      <c r="F117" s="1" t="str">
        <f t="shared" si="30"/>
        <v>0000</v>
      </c>
      <c r="G117" s="1" t="str">
        <f t="shared" si="31"/>
        <v>010010111010</v>
      </c>
      <c r="H117" s="1">
        <f t="shared" si="32"/>
        <v>0</v>
      </c>
      <c r="I117" s="1" t="str">
        <f t="shared" si="33"/>
        <v>0010010111010</v>
      </c>
      <c r="J117" s="1">
        <f t="shared" si="34"/>
        <v>0</v>
      </c>
      <c r="K117" s="1" t="str">
        <f t="shared" si="35"/>
        <v>0000010010111010</v>
      </c>
      <c r="M117" s="1" t="str">
        <f t="shared" si="36"/>
        <v>00000000010010111010</v>
      </c>
      <c r="N117" s="1" t="b">
        <f t="shared" si="37"/>
        <v>1</v>
      </c>
      <c r="O117" s="1">
        <f t="shared" si="38"/>
        <v>1210</v>
      </c>
    </row>
    <row r="118" spans="1:15" x14ac:dyDescent="0.25">
      <c r="A118" s="1">
        <v>2016</v>
      </c>
      <c r="B118" s="2" t="s">
        <v>52</v>
      </c>
      <c r="C118" s="4" t="s">
        <v>183</v>
      </c>
      <c r="D118" s="1" t="b">
        <f t="shared" si="39"/>
        <v>1</v>
      </c>
      <c r="E118" s="1" t="str">
        <f t="shared" si="29"/>
        <v>00000000101001011011</v>
      </c>
      <c r="F118" s="1" t="str">
        <f t="shared" si="30"/>
        <v>0000</v>
      </c>
      <c r="G118" s="1" t="str">
        <f t="shared" si="31"/>
        <v>101001011011</v>
      </c>
      <c r="H118" s="1">
        <f t="shared" si="32"/>
        <v>0</v>
      </c>
      <c r="I118" s="1" t="str">
        <f t="shared" si="33"/>
        <v>0101001011011</v>
      </c>
      <c r="J118" s="1">
        <f t="shared" si="34"/>
        <v>0</v>
      </c>
      <c r="K118" s="1" t="str">
        <f t="shared" si="35"/>
        <v>0000101001011011</v>
      </c>
      <c r="M118" s="1" t="str">
        <f t="shared" si="36"/>
        <v>00000000101001011011</v>
      </c>
      <c r="N118" s="1" t="b">
        <f t="shared" si="37"/>
        <v>1</v>
      </c>
      <c r="O118" s="1">
        <f t="shared" si="38"/>
        <v>2651</v>
      </c>
    </row>
    <row r="119" spans="1:15" x14ac:dyDescent="0.25">
      <c r="A119" s="1">
        <v>2017</v>
      </c>
      <c r="B119" s="2" t="s">
        <v>98</v>
      </c>
      <c r="C119" s="4" t="s">
        <v>231</v>
      </c>
      <c r="D119" s="1" t="b">
        <f t="shared" si="39"/>
        <v>0</v>
      </c>
      <c r="E119" s="1" t="str">
        <f t="shared" si="29"/>
        <v>01100000101001010111</v>
      </c>
      <c r="F119" s="1" t="str">
        <f t="shared" si="30"/>
        <v>0110</v>
      </c>
      <c r="G119" s="1" t="str">
        <f t="shared" si="31"/>
        <v>010100010111</v>
      </c>
      <c r="H119" s="1">
        <f t="shared" si="32"/>
        <v>1</v>
      </c>
      <c r="I119" s="1" t="str">
        <f t="shared" si="33"/>
        <v>0101001010111</v>
      </c>
      <c r="J119" s="1">
        <f t="shared" si="34"/>
        <v>6</v>
      </c>
      <c r="K119" s="1" t="str">
        <f t="shared" si="35"/>
        <v>0000101001010111</v>
      </c>
      <c r="M119" s="1" t="str">
        <f t="shared" si="36"/>
        <v>01100000101001010111</v>
      </c>
      <c r="N119" s="1" t="b">
        <f t="shared" si="37"/>
        <v>1</v>
      </c>
      <c r="O119" s="1">
        <f t="shared" si="38"/>
        <v>395863</v>
      </c>
    </row>
    <row r="120" spans="1:15" x14ac:dyDescent="0.25">
      <c r="A120" s="1">
        <v>2018</v>
      </c>
      <c r="B120" s="2" t="s">
        <v>54</v>
      </c>
      <c r="C120" s="4" t="s">
        <v>185</v>
      </c>
      <c r="D120" s="1" t="b">
        <f t="shared" si="39"/>
        <v>0</v>
      </c>
      <c r="E120" s="1" t="str">
        <f t="shared" si="29"/>
        <v>00000000010100101011</v>
      </c>
      <c r="F120" s="1" t="str">
        <f t="shared" si="30"/>
        <v>0000</v>
      </c>
      <c r="G120" s="1" t="str">
        <f t="shared" si="31"/>
        <v>010100101011</v>
      </c>
      <c r="H120" s="1">
        <f t="shared" si="32"/>
        <v>0</v>
      </c>
      <c r="I120" s="1" t="str">
        <f t="shared" si="33"/>
        <v>0010100101011</v>
      </c>
      <c r="J120" s="1">
        <f t="shared" si="34"/>
        <v>0</v>
      </c>
      <c r="K120" s="1" t="str">
        <f t="shared" si="35"/>
        <v>0000010100101011</v>
      </c>
      <c r="M120" s="1" t="str">
        <f t="shared" si="36"/>
        <v>00000000010100101011</v>
      </c>
      <c r="N120" s="1" t="b">
        <f t="shared" si="37"/>
        <v>1</v>
      </c>
      <c r="O120" s="1">
        <f t="shared" si="38"/>
        <v>1323</v>
      </c>
    </row>
    <row r="121" spans="1:15" x14ac:dyDescent="0.25">
      <c r="A121" s="1">
        <v>2019</v>
      </c>
      <c r="B121" s="2" t="s">
        <v>99</v>
      </c>
      <c r="C121" s="4" t="s">
        <v>232</v>
      </c>
      <c r="D121" s="1" t="b">
        <f t="shared" si="39"/>
        <v>1</v>
      </c>
      <c r="E121" s="1" t="str">
        <f t="shared" si="29"/>
        <v>00000000101010010011</v>
      </c>
      <c r="F121" s="1" t="str">
        <f t="shared" si="30"/>
        <v>0000</v>
      </c>
      <c r="G121" s="1" t="str">
        <f t="shared" si="31"/>
        <v>101010010011</v>
      </c>
      <c r="H121" s="1">
        <f t="shared" si="32"/>
        <v>0</v>
      </c>
      <c r="I121" s="1" t="str">
        <f t="shared" si="33"/>
        <v>0101010010011</v>
      </c>
      <c r="J121" s="1">
        <f t="shared" si="34"/>
        <v>0</v>
      </c>
      <c r="K121" s="1" t="str">
        <f t="shared" si="35"/>
        <v>0000101010010011</v>
      </c>
      <c r="M121" s="1" t="str">
        <f t="shared" si="36"/>
        <v>00000000101010010011</v>
      </c>
      <c r="N121" s="1" t="b">
        <f t="shared" si="37"/>
        <v>1</v>
      </c>
      <c r="O121" s="1">
        <f t="shared" si="38"/>
        <v>2707</v>
      </c>
    </row>
    <row r="122" spans="1:15" x14ac:dyDescent="0.25">
      <c r="A122" s="1">
        <v>2020</v>
      </c>
      <c r="B122" s="2" t="s">
        <v>100</v>
      </c>
      <c r="C122" s="4" t="s">
        <v>233</v>
      </c>
      <c r="D122" s="1" t="b">
        <f t="shared" si="39"/>
        <v>0</v>
      </c>
      <c r="E122" s="1" t="str">
        <f t="shared" si="29"/>
        <v>01000000111010010101</v>
      </c>
      <c r="F122" s="1" t="str">
        <f t="shared" si="30"/>
        <v>0100</v>
      </c>
      <c r="G122" s="1" t="str">
        <f t="shared" si="31"/>
        <v>011110010101</v>
      </c>
      <c r="H122" s="1">
        <f t="shared" si="32"/>
        <v>0</v>
      </c>
      <c r="I122" s="1" t="str">
        <f t="shared" si="33"/>
        <v>0111010010101</v>
      </c>
      <c r="J122" s="1">
        <f t="shared" si="34"/>
        <v>4</v>
      </c>
      <c r="K122" s="1" t="str">
        <f t="shared" si="35"/>
        <v>0000111010010101</v>
      </c>
      <c r="M122" s="1" t="str">
        <f t="shared" si="36"/>
        <v>01000000111010010101</v>
      </c>
      <c r="N122" s="1" t="b">
        <f t="shared" si="37"/>
        <v>1</v>
      </c>
      <c r="O122" s="1">
        <f t="shared" si="38"/>
        <v>265877</v>
      </c>
    </row>
    <row r="123" spans="1:15" x14ac:dyDescent="0.25">
      <c r="A123" s="1">
        <v>2021</v>
      </c>
      <c r="B123" s="2" t="s">
        <v>57</v>
      </c>
      <c r="C123" s="3" t="str">
        <f>IF(RIGHT(B123,4)="0000", LEFT(B123,LEN(B123)-4),"")</f>
        <v>11010101010</v>
      </c>
      <c r="D123" s="1" t="b">
        <f t="shared" si="39"/>
        <v>1</v>
      </c>
      <c r="E123" s="1" t="str">
        <f t="shared" si="29"/>
        <v>00000000011010101010</v>
      </c>
      <c r="F123" s="1" t="str">
        <f t="shared" si="30"/>
        <v>0000</v>
      </c>
      <c r="G123" s="1" t="str">
        <f t="shared" si="31"/>
        <v>011010101010</v>
      </c>
      <c r="H123" s="1">
        <f t="shared" si="32"/>
        <v>0</v>
      </c>
      <c r="I123" s="1" t="str">
        <f t="shared" si="33"/>
        <v>0011010101010</v>
      </c>
      <c r="J123" s="1">
        <f t="shared" si="34"/>
        <v>0</v>
      </c>
      <c r="K123" s="1" t="str">
        <f t="shared" si="35"/>
        <v>0000011010101010</v>
      </c>
      <c r="M123" s="1" t="str">
        <f t="shared" si="36"/>
        <v>00000000011010101010</v>
      </c>
      <c r="N123" s="1" t="b">
        <f t="shared" si="37"/>
        <v>1</v>
      </c>
      <c r="O123" s="1">
        <f t="shared" si="38"/>
        <v>1706</v>
      </c>
    </row>
    <row r="124" spans="1:15" x14ac:dyDescent="0.25">
      <c r="A124" s="1">
        <v>2022</v>
      </c>
      <c r="B124" s="2" t="s">
        <v>95</v>
      </c>
      <c r="C124" s="3" t="str">
        <f>IF(RIGHT(B124,4)="0000", LEFT(B124,LEN(B124)-4),"")</f>
        <v>101011010101</v>
      </c>
      <c r="D124" s="1" t="b">
        <f>C124&amp;"0000" = B124</f>
        <v>1</v>
      </c>
      <c r="E124" s="1" t="str">
        <f t="shared" si="29"/>
        <v>00000000101011010101</v>
      </c>
      <c r="F124" s="1" t="str">
        <f t="shared" si="30"/>
        <v>0000</v>
      </c>
      <c r="G124" s="1" t="str">
        <f t="shared" si="31"/>
        <v>101011010101</v>
      </c>
      <c r="H124" s="1">
        <f t="shared" si="32"/>
        <v>0</v>
      </c>
      <c r="I124" s="1" t="str">
        <f t="shared" si="33"/>
        <v>0101011010101</v>
      </c>
      <c r="J124" s="1">
        <f t="shared" si="34"/>
        <v>0</v>
      </c>
      <c r="K124" s="1" t="str">
        <f t="shared" si="35"/>
        <v>0000101011010101</v>
      </c>
      <c r="M124" s="1" t="str">
        <f t="shared" si="36"/>
        <v>00000000101011010101</v>
      </c>
      <c r="N124" s="1" t="b">
        <f t="shared" si="37"/>
        <v>1</v>
      </c>
      <c r="O124" s="1">
        <f t="shared" si="38"/>
        <v>2773</v>
      </c>
    </row>
    <row r="125" spans="1:15" x14ac:dyDescent="0.25">
      <c r="A125" s="1">
        <v>2023</v>
      </c>
      <c r="B125" s="2" t="s">
        <v>101</v>
      </c>
      <c r="C125" s="3" t="str">
        <f>IF(RIGHT(B125,4)="0000", LEFT(B125,LEN(B125)-4),"")</f>
        <v/>
      </c>
      <c r="D125" s="1" t="b">
        <f>C125&amp;"0000" = B125</f>
        <v>0</v>
      </c>
      <c r="E125" s="1" t="str">
        <f t="shared" si="29"/>
        <v>00000000000000000000</v>
      </c>
      <c r="F125" s="1" t="str">
        <f t="shared" si="30"/>
        <v>0010</v>
      </c>
      <c r="G125" s="1" t="str">
        <f t="shared" si="31"/>
        <v>010110110101</v>
      </c>
      <c r="H125" s="1">
        <f t="shared" si="32"/>
        <v>0</v>
      </c>
      <c r="I125" s="1" t="str">
        <f t="shared" si="33"/>
        <v>0100110110101</v>
      </c>
      <c r="J125" s="1">
        <f t="shared" si="34"/>
        <v>2</v>
      </c>
      <c r="K125" s="1" t="str">
        <f t="shared" si="35"/>
        <v>0000100110110101</v>
      </c>
      <c r="M125" s="1" t="str">
        <f t="shared" si="36"/>
        <v>00100000100110110101</v>
      </c>
      <c r="N125" s="1" t="b">
        <f t="shared" si="37"/>
        <v>0</v>
      </c>
      <c r="O125" s="1">
        <f t="shared" si="38"/>
        <v>133557</v>
      </c>
    </row>
    <row r="126" spans="1:15" x14ac:dyDescent="0.25">
      <c r="A126" s="1">
        <v>2024</v>
      </c>
      <c r="B126" s="2" t="s">
        <v>60</v>
      </c>
      <c r="C126" s="3" t="str">
        <f>IF(RIGHT(B126,4)="0000", LEFT(B126,LEN(B126)-4),"")</f>
        <v>10010110110</v>
      </c>
      <c r="D126" s="1" t="b">
        <f>C126&amp;"0000" = B126</f>
        <v>1</v>
      </c>
      <c r="E126" s="1" t="str">
        <f t="shared" si="29"/>
        <v>00000000010010110110</v>
      </c>
      <c r="F126" s="1" t="str">
        <f t="shared" si="30"/>
        <v>0000</v>
      </c>
      <c r="G126" s="1" t="str">
        <f t="shared" si="31"/>
        <v>010010110110</v>
      </c>
      <c r="H126" s="1">
        <f t="shared" si="32"/>
        <v>0</v>
      </c>
      <c r="I126" s="1" t="str">
        <f t="shared" si="33"/>
        <v>0010010110110</v>
      </c>
      <c r="J126" s="1">
        <f t="shared" si="34"/>
        <v>0</v>
      </c>
      <c r="K126" s="1" t="str">
        <f t="shared" si="35"/>
        <v>0000010010110110</v>
      </c>
      <c r="M126" s="1" t="str">
        <f t="shared" si="36"/>
        <v>00000000010010110110</v>
      </c>
      <c r="N126" s="1" t="b">
        <f t="shared" si="37"/>
        <v>1</v>
      </c>
      <c r="O126" s="1">
        <f t="shared" si="38"/>
        <v>1206</v>
      </c>
    </row>
    <row r="127" spans="1:15" x14ac:dyDescent="0.25">
      <c r="A127" s="1">
        <v>2025</v>
      </c>
      <c r="B127" s="2" t="s">
        <v>102</v>
      </c>
      <c r="C127" s="3" t="str">
        <f>IF(RIGHT(B127,4)="0000", LEFT(B127,LEN(B127)-4),"")</f>
        <v/>
      </c>
      <c r="D127" s="1" t="b">
        <f>C127&amp;"0000" = B127</f>
        <v>0</v>
      </c>
      <c r="E127" s="1" t="str">
        <f t="shared" ref="E127:E190" si="40">RIGHT("00000000000000000000" &amp; C127,20)</f>
        <v>00000000000000000000</v>
      </c>
      <c r="F127" s="1" t="str">
        <f t="shared" ref="F127:F190" si="41">IF(RIGHT(B127,4)="1111","0000",RIGHT(B127,4))</f>
        <v>0110</v>
      </c>
      <c r="G127" s="1" t="str">
        <f t="shared" ref="G127:G190" si="42">RIGHT("00000" &amp; LEFT(B127,LEN(B127)-4),12)</f>
        <v>101001101110</v>
      </c>
      <c r="H127" s="1">
        <f t="shared" ref="H127:H190" si="43">IF(RIGHT(B128,4)="1111",1,0)</f>
        <v>0</v>
      </c>
      <c r="I127" s="1" t="str">
        <f t="shared" ref="I127:I190" si="44">LEFT(G127,J127) &amp; H127 &amp; MID(G127,J127+1,100)</f>
        <v>1010010101110</v>
      </c>
      <c r="J127" s="1">
        <f t="shared" ref="J127:J190" si="45">BIN2DEC(F127)</f>
        <v>6</v>
      </c>
      <c r="K127" s="1" t="str">
        <f t="shared" ref="K127:K190" si="46">RIGHT("000000000000000" &amp; I127,16)</f>
        <v>0001010010101110</v>
      </c>
      <c r="M127" s="1" t="str">
        <f t="shared" ref="M127:M190" si="47">IF(F127="0000",RIGHT("00000000000000000000" &amp; LEFT(B127,LEN(B127)-4),20),F127&amp;K127)</f>
        <v>01100001010010101110</v>
      </c>
      <c r="N127" s="1" t="b">
        <f t="shared" ref="N127:N190" si="48">M127=E127</f>
        <v>0</v>
      </c>
      <c r="O127" s="1">
        <f t="shared" si="38"/>
        <v>398510</v>
      </c>
    </row>
    <row r="128" spans="1:15" x14ac:dyDescent="0.25">
      <c r="A128" s="1">
        <v>2026</v>
      </c>
      <c r="B128" s="2" t="s">
        <v>103</v>
      </c>
      <c r="C128" s="3" t="str">
        <f>IF(RIGHT(B128,4)="0000", LEFT(B128,LEN(B128)-4),"")</f>
        <v>101001001110</v>
      </c>
      <c r="D128" s="1" t="b">
        <f>C128&amp;"0000" = B128</f>
        <v>1</v>
      </c>
      <c r="E128" s="1" t="str">
        <f t="shared" si="40"/>
        <v>00000000101001001110</v>
      </c>
      <c r="F128" s="1" t="str">
        <f t="shared" si="41"/>
        <v>0000</v>
      </c>
      <c r="G128" s="1" t="str">
        <f t="shared" si="42"/>
        <v>101001001110</v>
      </c>
      <c r="H128" s="1">
        <f t="shared" si="43"/>
        <v>0</v>
      </c>
      <c r="I128" s="1" t="str">
        <f t="shared" si="44"/>
        <v>0101001001110</v>
      </c>
      <c r="J128" s="1">
        <f t="shared" si="45"/>
        <v>0</v>
      </c>
      <c r="K128" s="1" t="str">
        <f t="shared" si="46"/>
        <v>0000101001001110</v>
      </c>
      <c r="M128" s="1" t="str">
        <f t="shared" si="47"/>
        <v>00000000101001001110</v>
      </c>
      <c r="N128" s="1" t="b">
        <f t="shared" si="48"/>
        <v>1</v>
      </c>
      <c r="O128" s="1">
        <f t="shared" si="38"/>
        <v>2638</v>
      </c>
    </row>
    <row r="129" spans="1:15" x14ac:dyDescent="0.25">
      <c r="A129" s="1">
        <v>2027</v>
      </c>
      <c r="B129" s="2" t="s">
        <v>4</v>
      </c>
      <c r="C129" s="3" t="str">
        <f>IF(RIGHT(B129,4)="0000", LEFT(B129,LEN(B129)-4),"")</f>
        <v>110100100110</v>
      </c>
      <c r="D129" s="1" t="b">
        <f>C129&amp;"0000" = B129</f>
        <v>1</v>
      </c>
      <c r="E129" s="1" t="str">
        <f t="shared" si="40"/>
        <v>00000000110100100110</v>
      </c>
      <c r="F129" s="1" t="str">
        <f t="shared" si="41"/>
        <v>0000</v>
      </c>
      <c r="G129" s="1" t="str">
        <f t="shared" si="42"/>
        <v>110100100110</v>
      </c>
      <c r="H129" s="1">
        <f t="shared" si="43"/>
        <v>0</v>
      </c>
      <c r="I129" s="1" t="str">
        <f t="shared" si="44"/>
        <v>0110100100110</v>
      </c>
      <c r="J129" s="1">
        <f t="shared" si="45"/>
        <v>0</v>
      </c>
      <c r="K129" s="1" t="str">
        <f t="shared" si="46"/>
        <v>0000110100100110</v>
      </c>
      <c r="M129" s="1" t="str">
        <f t="shared" si="47"/>
        <v>00000000110100100110</v>
      </c>
      <c r="N129" s="1" t="b">
        <f t="shared" si="48"/>
        <v>1</v>
      </c>
      <c r="O129" s="1">
        <f t="shared" si="38"/>
        <v>3366</v>
      </c>
    </row>
    <row r="130" spans="1:15" x14ac:dyDescent="0.25">
      <c r="A130" s="1">
        <v>2028</v>
      </c>
      <c r="B130" s="2" t="s">
        <v>104</v>
      </c>
      <c r="C130" s="3" t="str">
        <f>IF(RIGHT(B130,4)="0000", LEFT(B130,LEN(B130)-4),"")</f>
        <v/>
      </c>
      <c r="D130" s="1" t="b">
        <f>C130&amp;"0000" = B130</f>
        <v>0</v>
      </c>
      <c r="E130" s="1" t="str">
        <f t="shared" si="40"/>
        <v>00000000000000000000</v>
      </c>
      <c r="F130" s="1" t="str">
        <f t="shared" si="41"/>
        <v>0101</v>
      </c>
      <c r="G130" s="1" t="str">
        <f t="shared" si="42"/>
        <v>111010100110</v>
      </c>
      <c r="H130" s="1">
        <f t="shared" si="43"/>
        <v>0</v>
      </c>
      <c r="I130" s="1" t="str">
        <f t="shared" si="44"/>
        <v>1110100100110</v>
      </c>
      <c r="J130" s="1">
        <f t="shared" si="45"/>
        <v>5</v>
      </c>
      <c r="K130" s="1" t="str">
        <f t="shared" si="46"/>
        <v>0001110100100110</v>
      </c>
      <c r="M130" s="1" t="str">
        <f t="shared" si="47"/>
        <v>01010001110100100110</v>
      </c>
      <c r="N130" s="1" t="b">
        <f t="shared" si="48"/>
        <v>0</v>
      </c>
      <c r="O130" s="1">
        <f t="shared" si="38"/>
        <v>335142</v>
      </c>
    </row>
    <row r="131" spans="1:15" x14ac:dyDescent="0.25">
      <c r="A131" s="1">
        <v>2029</v>
      </c>
      <c r="B131" s="2" t="s">
        <v>105</v>
      </c>
      <c r="C131" s="3" t="str">
        <f>IF(RIGHT(B131,4)="0000", LEFT(B131,LEN(B131)-4),"")</f>
        <v>110101010011</v>
      </c>
      <c r="D131" s="1" t="b">
        <f>C131&amp;"0000" = B131</f>
        <v>1</v>
      </c>
      <c r="E131" s="1" t="str">
        <f t="shared" si="40"/>
        <v>00000000110101010011</v>
      </c>
      <c r="F131" s="1" t="str">
        <f t="shared" si="41"/>
        <v>0000</v>
      </c>
      <c r="G131" s="1" t="str">
        <f t="shared" si="42"/>
        <v>110101010011</v>
      </c>
      <c r="H131" s="1">
        <f t="shared" si="43"/>
        <v>0</v>
      </c>
      <c r="I131" s="1" t="str">
        <f t="shared" si="44"/>
        <v>0110101010011</v>
      </c>
      <c r="J131" s="1">
        <f t="shared" si="45"/>
        <v>0</v>
      </c>
      <c r="K131" s="1" t="str">
        <f t="shared" si="46"/>
        <v>0000110101010011</v>
      </c>
      <c r="M131" s="1" t="str">
        <f t="shared" si="47"/>
        <v>00000000110101010011</v>
      </c>
      <c r="N131" s="1" t="b">
        <f t="shared" si="48"/>
        <v>1</v>
      </c>
      <c r="O131" s="1">
        <f t="shared" ref="O131:O194" si="49">mBin2Dec(M131)</f>
        <v>3411</v>
      </c>
    </row>
    <row r="132" spans="1:15" x14ac:dyDescent="0.25">
      <c r="A132" s="1">
        <v>2030</v>
      </c>
      <c r="B132" s="2" t="s">
        <v>106</v>
      </c>
      <c r="C132" s="3" t="str">
        <f>IF(RIGHT(B132,4)="0000", LEFT(B132,LEN(B132)-4),"")</f>
        <v>10110101010</v>
      </c>
      <c r="D132" s="1" t="b">
        <f>C132&amp;"0000" = B132</f>
        <v>1</v>
      </c>
      <c r="E132" s="1" t="str">
        <f t="shared" si="40"/>
        <v>00000000010110101010</v>
      </c>
      <c r="F132" s="1" t="str">
        <f t="shared" si="41"/>
        <v>0000</v>
      </c>
      <c r="G132" s="1" t="str">
        <f t="shared" si="42"/>
        <v>010110101010</v>
      </c>
      <c r="H132" s="1">
        <f t="shared" si="43"/>
        <v>0</v>
      </c>
      <c r="I132" s="1" t="str">
        <f t="shared" si="44"/>
        <v>0010110101010</v>
      </c>
      <c r="J132" s="1">
        <f t="shared" si="45"/>
        <v>0</v>
      </c>
      <c r="K132" s="1" t="str">
        <f t="shared" si="46"/>
        <v>0000010110101010</v>
      </c>
      <c r="M132" s="1" t="str">
        <f t="shared" si="47"/>
        <v>00000000010110101010</v>
      </c>
      <c r="N132" s="1" t="b">
        <f t="shared" si="48"/>
        <v>1</v>
      </c>
      <c r="O132" s="1">
        <f t="shared" si="49"/>
        <v>1450</v>
      </c>
    </row>
    <row r="133" spans="1:15" x14ac:dyDescent="0.25">
      <c r="A133" s="1">
        <v>2031</v>
      </c>
      <c r="B133" s="2" t="s">
        <v>107</v>
      </c>
      <c r="C133" s="3" t="str">
        <f>IF(RIGHT(B133,4)="0000", LEFT(B133,LEN(B133)-4),"")</f>
        <v/>
      </c>
      <c r="D133" s="1" t="b">
        <f>C133&amp;"0000" = B133</f>
        <v>0</v>
      </c>
      <c r="E133" s="1" t="str">
        <f t="shared" si="40"/>
        <v>00000000000000000000</v>
      </c>
      <c r="F133" s="1" t="str">
        <f t="shared" si="41"/>
        <v>0011</v>
      </c>
      <c r="G133" s="1" t="str">
        <f t="shared" si="42"/>
        <v>011101101010</v>
      </c>
      <c r="H133" s="1">
        <f t="shared" si="43"/>
        <v>0</v>
      </c>
      <c r="I133" s="1" t="str">
        <f t="shared" si="44"/>
        <v>0110101101010</v>
      </c>
      <c r="J133" s="1">
        <f t="shared" si="45"/>
        <v>3</v>
      </c>
      <c r="K133" s="1" t="str">
        <f t="shared" si="46"/>
        <v>0000110101101010</v>
      </c>
      <c r="M133" s="1" t="str">
        <f t="shared" si="47"/>
        <v>00110000110101101010</v>
      </c>
      <c r="N133" s="1" t="b">
        <f t="shared" si="48"/>
        <v>0</v>
      </c>
      <c r="O133" s="1">
        <f t="shared" si="49"/>
        <v>200042</v>
      </c>
    </row>
    <row r="134" spans="1:15" x14ac:dyDescent="0.25">
      <c r="A134" s="1">
        <v>2032</v>
      </c>
      <c r="B134" s="2" t="s">
        <v>65</v>
      </c>
      <c r="C134" s="3" t="str">
        <f>IF(RIGHT(B134,4)="0000", LEFT(B134,LEN(B134)-4),"")</f>
        <v>100101101101</v>
      </c>
      <c r="D134" s="1" t="b">
        <f>C134&amp;"0000" = B134</f>
        <v>1</v>
      </c>
      <c r="E134" s="1" t="str">
        <f t="shared" si="40"/>
        <v>00000000100101101101</v>
      </c>
      <c r="F134" s="1" t="str">
        <f t="shared" si="41"/>
        <v>0000</v>
      </c>
      <c r="G134" s="1" t="str">
        <f t="shared" si="42"/>
        <v>100101101101</v>
      </c>
      <c r="H134" s="1">
        <f t="shared" si="43"/>
        <v>0</v>
      </c>
      <c r="I134" s="1" t="str">
        <f t="shared" si="44"/>
        <v>0100101101101</v>
      </c>
      <c r="J134" s="1">
        <f t="shared" si="45"/>
        <v>0</v>
      </c>
      <c r="K134" s="1" t="str">
        <f t="shared" si="46"/>
        <v>0000100101101101</v>
      </c>
      <c r="M134" s="1" t="str">
        <f t="shared" si="47"/>
        <v>00000000100101101101</v>
      </c>
      <c r="N134" s="1" t="b">
        <f t="shared" si="48"/>
        <v>1</v>
      </c>
      <c r="O134" s="1">
        <f t="shared" si="49"/>
        <v>2413</v>
      </c>
    </row>
    <row r="135" spans="1:15" x14ac:dyDescent="0.25">
      <c r="A135" s="1">
        <v>2033</v>
      </c>
      <c r="B135" s="2" t="s">
        <v>108</v>
      </c>
      <c r="C135" s="3" t="str">
        <f>IF(RIGHT(B135,4)="0000", LEFT(B135,LEN(B135)-4),"")</f>
        <v/>
      </c>
      <c r="D135" s="1" t="b">
        <f>C135&amp;"0000" = B135</f>
        <v>0</v>
      </c>
      <c r="E135" s="1" t="str">
        <f t="shared" si="40"/>
        <v>00000000000000000000</v>
      </c>
      <c r="F135" s="1" t="str">
        <f t="shared" si="41"/>
        <v>1011</v>
      </c>
      <c r="G135" s="1" t="str">
        <f t="shared" si="42"/>
        <v>010010101111</v>
      </c>
      <c r="H135" s="1">
        <f t="shared" si="43"/>
        <v>0</v>
      </c>
      <c r="I135" s="1" t="str">
        <f t="shared" si="44"/>
        <v>0100101011101</v>
      </c>
      <c r="J135" s="1">
        <f t="shared" si="45"/>
        <v>11</v>
      </c>
      <c r="K135" s="1" t="str">
        <f t="shared" si="46"/>
        <v>0000100101011101</v>
      </c>
      <c r="M135" s="1" t="str">
        <f t="shared" si="47"/>
        <v>10110000100101011101</v>
      </c>
      <c r="N135" s="1" t="b">
        <f t="shared" si="48"/>
        <v>0</v>
      </c>
      <c r="O135" s="1">
        <f t="shared" si="49"/>
        <v>723293</v>
      </c>
    </row>
    <row r="136" spans="1:15" x14ac:dyDescent="0.25">
      <c r="A136" s="1">
        <v>2034</v>
      </c>
      <c r="B136" s="2" t="s">
        <v>67</v>
      </c>
      <c r="C136" s="3" t="str">
        <f>IF(RIGHT(B136,4)="0000", LEFT(B136,LEN(B136)-4),"")</f>
        <v>10010101101</v>
      </c>
      <c r="D136" s="1" t="b">
        <f>C136&amp;"0000" = B136</f>
        <v>1</v>
      </c>
      <c r="E136" s="1" t="str">
        <f t="shared" si="40"/>
        <v>00000000010010101101</v>
      </c>
      <c r="F136" s="1" t="str">
        <f t="shared" si="41"/>
        <v>0000</v>
      </c>
      <c r="G136" s="1" t="str">
        <f t="shared" si="42"/>
        <v>010010101101</v>
      </c>
      <c r="H136" s="1">
        <f t="shared" si="43"/>
        <v>0</v>
      </c>
      <c r="I136" s="1" t="str">
        <f t="shared" si="44"/>
        <v>0010010101101</v>
      </c>
      <c r="J136" s="1">
        <f t="shared" si="45"/>
        <v>0</v>
      </c>
      <c r="K136" s="1" t="str">
        <f t="shared" si="46"/>
        <v>0000010010101101</v>
      </c>
      <c r="M136" s="1" t="str">
        <f t="shared" si="47"/>
        <v>00000000010010101101</v>
      </c>
      <c r="N136" s="1" t="b">
        <f t="shared" si="48"/>
        <v>1</v>
      </c>
      <c r="O136" s="1">
        <f t="shared" si="49"/>
        <v>1197</v>
      </c>
    </row>
    <row r="137" spans="1:15" x14ac:dyDescent="0.25">
      <c r="A137" s="1">
        <v>2035</v>
      </c>
      <c r="B137" s="2" t="s">
        <v>11</v>
      </c>
      <c r="C137" s="3" t="str">
        <f>IF(RIGHT(B137,4)="0000", LEFT(B137,LEN(B137)-4),"")</f>
        <v>101001001101</v>
      </c>
      <c r="D137" s="1" t="b">
        <f>C137&amp;"0000" = B137</f>
        <v>1</v>
      </c>
      <c r="E137" s="1" t="str">
        <f t="shared" si="40"/>
        <v>00000000101001001101</v>
      </c>
      <c r="F137" s="1" t="str">
        <f t="shared" si="41"/>
        <v>0000</v>
      </c>
      <c r="G137" s="1" t="str">
        <f t="shared" si="42"/>
        <v>101001001101</v>
      </c>
      <c r="H137" s="1">
        <f t="shared" si="43"/>
        <v>0</v>
      </c>
      <c r="I137" s="1" t="str">
        <f t="shared" si="44"/>
        <v>0101001001101</v>
      </c>
      <c r="J137" s="1">
        <f t="shared" si="45"/>
        <v>0</v>
      </c>
      <c r="K137" s="1" t="str">
        <f t="shared" si="46"/>
        <v>0000101001001101</v>
      </c>
      <c r="M137" s="1" t="str">
        <f t="shared" si="47"/>
        <v>00000000101001001101</v>
      </c>
      <c r="N137" s="1" t="b">
        <f t="shared" si="48"/>
        <v>1</v>
      </c>
      <c r="O137" s="1">
        <f t="shared" si="49"/>
        <v>2637</v>
      </c>
    </row>
    <row r="138" spans="1:15" x14ac:dyDescent="0.25">
      <c r="A138" s="1">
        <v>2036</v>
      </c>
      <c r="B138" s="2" t="s">
        <v>109</v>
      </c>
      <c r="C138" s="3" t="str">
        <f>IF(RIGHT(B138,4)="0000", LEFT(B138,LEN(B138)-4),"")</f>
        <v/>
      </c>
      <c r="D138" s="1" t="b">
        <f>C138&amp;"0000" = B138</f>
        <v>0</v>
      </c>
      <c r="E138" s="1" t="str">
        <f t="shared" si="40"/>
        <v>00000000000000000000</v>
      </c>
      <c r="F138" s="1" t="str">
        <f t="shared" si="41"/>
        <v>0110</v>
      </c>
      <c r="G138" s="1" t="str">
        <f t="shared" si="42"/>
        <v>110100001011</v>
      </c>
      <c r="H138" s="1">
        <f t="shared" si="43"/>
        <v>1</v>
      </c>
      <c r="I138" s="1" t="str">
        <f t="shared" si="44"/>
        <v>1101001001011</v>
      </c>
      <c r="J138" s="1">
        <f t="shared" si="45"/>
        <v>6</v>
      </c>
      <c r="K138" s="1" t="str">
        <f t="shared" si="46"/>
        <v>0001101001001011</v>
      </c>
      <c r="M138" s="1" t="str">
        <f t="shared" si="47"/>
        <v>01100001101001001011</v>
      </c>
      <c r="N138" s="1" t="b">
        <f t="shared" si="48"/>
        <v>0</v>
      </c>
      <c r="O138" s="1">
        <f t="shared" si="49"/>
        <v>399947</v>
      </c>
    </row>
    <row r="139" spans="1:15" x14ac:dyDescent="0.25">
      <c r="A139" s="1">
        <v>2037</v>
      </c>
      <c r="B139" s="2" t="s">
        <v>110</v>
      </c>
      <c r="C139" s="3" t="str">
        <f>IF(RIGHT(B139,4)="0000", LEFT(B139,LEN(B139)-4),"")</f>
        <v/>
      </c>
      <c r="D139" s="1" t="b">
        <f>C139&amp;"0000" = B139</f>
        <v>0</v>
      </c>
      <c r="E139" s="1" t="str">
        <f t="shared" si="40"/>
        <v>00000000000000000000</v>
      </c>
      <c r="F139" s="1" t="str">
        <f t="shared" si="41"/>
        <v>0000</v>
      </c>
      <c r="G139" s="1" t="str">
        <f t="shared" si="42"/>
        <v>110100100101</v>
      </c>
      <c r="H139" s="1">
        <f t="shared" si="43"/>
        <v>0</v>
      </c>
      <c r="I139" s="1" t="str">
        <f t="shared" si="44"/>
        <v>0110100100101</v>
      </c>
      <c r="J139" s="1">
        <f t="shared" si="45"/>
        <v>0</v>
      </c>
      <c r="K139" s="1" t="str">
        <f t="shared" si="46"/>
        <v>0000110100100101</v>
      </c>
      <c r="M139" s="1" t="str">
        <f t="shared" si="47"/>
        <v>00000000110100100101</v>
      </c>
      <c r="N139" s="1" t="b">
        <f t="shared" si="48"/>
        <v>0</v>
      </c>
      <c r="O139" s="1">
        <f t="shared" si="49"/>
        <v>3365</v>
      </c>
    </row>
    <row r="140" spans="1:15" x14ac:dyDescent="0.25">
      <c r="A140" s="1">
        <v>2038</v>
      </c>
      <c r="B140" s="2" t="s">
        <v>111</v>
      </c>
      <c r="C140" s="3" t="str">
        <f>IF(RIGHT(B140,4)="0000", LEFT(B140,LEN(B140)-4),"")</f>
        <v>110101010010</v>
      </c>
      <c r="D140" s="1" t="b">
        <f>C140&amp;"0000" = B140</f>
        <v>1</v>
      </c>
      <c r="E140" s="1" t="str">
        <f t="shared" si="40"/>
        <v>00000000110101010010</v>
      </c>
      <c r="F140" s="1" t="str">
        <f t="shared" si="41"/>
        <v>0000</v>
      </c>
      <c r="G140" s="1" t="str">
        <f t="shared" si="42"/>
        <v>110101010010</v>
      </c>
      <c r="H140" s="1">
        <f t="shared" si="43"/>
        <v>0</v>
      </c>
      <c r="I140" s="1" t="str">
        <f t="shared" si="44"/>
        <v>0110101010010</v>
      </c>
      <c r="J140" s="1">
        <f t="shared" si="45"/>
        <v>0</v>
      </c>
      <c r="K140" s="1" t="str">
        <f t="shared" si="46"/>
        <v>0000110101010010</v>
      </c>
      <c r="M140" s="1" t="str">
        <f t="shared" si="47"/>
        <v>00000000110101010010</v>
      </c>
      <c r="N140" s="1" t="b">
        <f t="shared" si="48"/>
        <v>1</v>
      </c>
      <c r="O140" s="1">
        <f t="shared" si="49"/>
        <v>3410</v>
      </c>
    </row>
    <row r="141" spans="1:15" x14ac:dyDescent="0.25">
      <c r="A141" s="1">
        <v>2039</v>
      </c>
      <c r="B141" s="2" t="s">
        <v>112</v>
      </c>
      <c r="C141" s="3" t="str">
        <f>IF(RIGHT(B141,4)="0000", LEFT(B141,LEN(B141)-4),"")</f>
        <v/>
      </c>
      <c r="D141" s="1" t="b">
        <f>C141&amp;"0000" = B141</f>
        <v>0</v>
      </c>
      <c r="E141" s="1" t="str">
        <f t="shared" si="40"/>
        <v>00000000000000000000</v>
      </c>
      <c r="F141" s="1" t="str">
        <f t="shared" si="41"/>
        <v>0101</v>
      </c>
      <c r="G141" s="1" t="str">
        <f t="shared" si="42"/>
        <v>110111010100</v>
      </c>
      <c r="H141" s="1">
        <f t="shared" si="43"/>
        <v>0</v>
      </c>
      <c r="I141" s="1" t="str">
        <f t="shared" si="44"/>
        <v>1101101010100</v>
      </c>
      <c r="J141" s="1">
        <f t="shared" si="45"/>
        <v>5</v>
      </c>
      <c r="K141" s="1" t="str">
        <f t="shared" si="46"/>
        <v>0001101101010100</v>
      </c>
      <c r="M141" s="1" t="str">
        <f t="shared" si="47"/>
        <v>01010001101101010100</v>
      </c>
      <c r="N141" s="1" t="b">
        <f t="shared" si="48"/>
        <v>0</v>
      </c>
      <c r="O141" s="1">
        <f t="shared" si="49"/>
        <v>334676</v>
      </c>
    </row>
    <row r="142" spans="1:15" x14ac:dyDescent="0.25">
      <c r="A142" s="1">
        <v>2040</v>
      </c>
      <c r="B142" s="2" t="s">
        <v>113</v>
      </c>
      <c r="C142" s="3" t="str">
        <f>IF(RIGHT(B142,4)="0000", LEFT(B142,LEN(B142)-4),"")</f>
        <v>101101011010</v>
      </c>
      <c r="D142" s="1" t="b">
        <f>C142&amp;"0000" = B142</f>
        <v>1</v>
      </c>
      <c r="E142" s="1" t="str">
        <f t="shared" si="40"/>
        <v>00000000101101011010</v>
      </c>
      <c r="F142" s="1" t="str">
        <f t="shared" si="41"/>
        <v>0000</v>
      </c>
      <c r="G142" s="1" t="str">
        <f t="shared" si="42"/>
        <v>101101011010</v>
      </c>
      <c r="H142" s="1">
        <f t="shared" si="43"/>
        <v>0</v>
      </c>
      <c r="I142" s="1" t="str">
        <f t="shared" si="44"/>
        <v>0101101011010</v>
      </c>
      <c r="J142" s="1">
        <f t="shared" si="45"/>
        <v>0</v>
      </c>
      <c r="K142" s="1" t="str">
        <f t="shared" si="46"/>
        <v>0000101101011010</v>
      </c>
      <c r="M142" s="1" t="str">
        <f t="shared" si="47"/>
        <v>00000000101101011010</v>
      </c>
      <c r="N142" s="1" t="b">
        <f t="shared" si="48"/>
        <v>1</v>
      </c>
      <c r="O142" s="1">
        <f t="shared" si="49"/>
        <v>2906</v>
      </c>
    </row>
    <row r="143" spans="1:15" x14ac:dyDescent="0.25">
      <c r="A143" s="1">
        <v>2041</v>
      </c>
      <c r="B143" s="2" t="s">
        <v>114</v>
      </c>
      <c r="C143" s="3" t="str">
        <f>IF(RIGHT(B143,4)="0000", LEFT(B143,LEN(B143)-4),"")</f>
        <v>10101101101</v>
      </c>
      <c r="D143" s="1" t="b">
        <f>C143&amp;"0000" = B143</f>
        <v>1</v>
      </c>
      <c r="E143" s="1" t="str">
        <f t="shared" si="40"/>
        <v>00000000010101101101</v>
      </c>
      <c r="F143" s="1" t="str">
        <f t="shared" si="41"/>
        <v>0000</v>
      </c>
      <c r="G143" s="1" t="str">
        <f t="shared" si="42"/>
        <v>010101101101</v>
      </c>
      <c r="H143" s="1">
        <f t="shared" si="43"/>
        <v>0</v>
      </c>
      <c r="I143" s="1" t="str">
        <f t="shared" si="44"/>
        <v>0010101101101</v>
      </c>
      <c r="J143" s="1">
        <f t="shared" si="45"/>
        <v>0</v>
      </c>
      <c r="K143" s="1" t="str">
        <f t="shared" si="46"/>
        <v>0000010101101101</v>
      </c>
      <c r="M143" s="1" t="str">
        <f t="shared" si="47"/>
        <v>00000000010101101101</v>
      </c>
      <c r="N143" s="1" t="b">
        <f t="shared" si="48"/>
        <v>1</v>
      </c>
      <c r="O143" s="1">
        <f t="shared" si="49"/>
        <v>1389</v>
      </c>
    </row>
    <row r="144" spans="1:15" x14ac:dyDescent="0.25">
      <c r="A144" s="1">
        <v>2042</v>
      </c>
      <c r="B144" s="2" t="s">
        <v>115</v>
      </c>
      <c r="C144" s="3" t="str">
        <f>IF(RIGHT(B144,4)="0000", LEFT(B144,LEN(B144)-4),"")</f>
        <v/>
      </c>
      <c r="D144" s="1" t="b">
        <f>C144&amp;"0000" = B144</f>
        <v>0</v>
      </c>
      <c r="E144" s="1" t="str">
        <f t="shared" si="40"/>
        <v>00000000000000000000</v>
      </c>
      <c r="F144" s="1" t="str">
        <f t="shared" si="41"/>
        <v>0010</v>
      </c>
      <c r="G144" s="1" t="str">
        <f t="shared" si="42"/>
        <v>010101011011</v>
      </c>
      <c r="H144" s="1">
        <f t="shared" si="43"/>
        <v>0</v>
      </c>
      <c r="I144" s="1" t="str">
        <f t="shared" si="44"/>
        <v>0100101011011</v>
      </c>
      <c r="J144" s="1">
        <f t="shared" si="45"/>
        <v>2</v>
      </c>
      <c r="K144" s="1" t="str">
        <f t="shared" si="46"/>
        <v>0000100101011011</v>
      </c>
      <c r="M144" s="1" t="str">
        <f t="shared" si="47"/>
        <v>00100000100101011011</v>
      </c>
      <c r="N144" s="1" t="b">
        <f t="shared" si="48"/>
        <v>0</v>
      </c>
      <c r="O144" s="1">
        <f t="shared" si="49"/>
        <v>133467</v>
      </c>
    </row>
    <row r="145" spans="1:15" x14ac:dyDescent="0.25">
      <c r="A145" s="1">
        <v>2043</v>
      </c>
      <c r="B145" s="2" t="s">
        <v>74</v>
      </c>
      <c r="C145" s="3" t="str">
        <f>IF(RIGHT(B145,4)="0000", LEFT(B145,LEN(B145)-4),"")</f>
        <v>10010011011</v>
      </c>
      <c r="D145" s="1" t="b">
        <f>C145&amp;"0000" = B145</f>
        <v>1</v>
      </c>
      <c r="E145" s="1" t="str">
        <f t="shared" si="40"/>
        <v>00000000010010011011</v>
      </c>
      <c r="F145" s="1" t="str">
        <f t="shared" si="41"/>
        <v>0000</v>
      </c>
      <c r="G145" s="1" t="str">
        <f t="shared" si="42"/>
        <v>010010011011</v>
      </c>
      <c r="H145" s="1">
        <f t="shared" si="43"/>
        <v>0</v>
      </c>
      <c r="I145" s="1" t="str">
        <f t="shared" si="44"/>
        <v>0010010011011</v>
      </c>
      <c r="J145" s="1">
        <f t="shared" si="45"/>
        <v>0</v>
      </c>
      <c r="K145" s="1" t="str">
        <f t="shared" si="46"/>
        <v>0000010010011011</v>
      </c>
      <c r="M145" s="1" t="str">
        <f t="shared" si="47"/>
        <v>00000000010010011011</v>
      </c>
      <c r="N145" s="1" t="b">
        <f t="shared" si="48"/>
        <v>1</v>
      </c>
      <c r="O145" s="1">
        <f t="shared" si="49"/>
        <v>1179</v>
      </c>
    </row>
    <row r="146" spans="1:15" x14ac:dyDescent="0.25">
      <c r="A146" s="1">
        <v>2044</v>
      </c>
      <c r="B146" s="2" t="s">
        <v>116</v>
      </c>
      <c r="C146" s="3" t="str">
        <f>IF(RIGHT(B146,4)="0000", LEFT(B146,LEN(B146)-4),"")</f>
        <v/>
      </c>
      <c r="D146" s="1" t="b">
        <f>C146&amp;"0000" = B146</f>
        <v>0</v>
      </c>
      <c r="E146" s="1" t="str">
        <f t="shared" si="40"/>
        <v>00000000000000000000</v>
      </c>
      <c r="F146" s="1" t="str">
        <f t="shared" si="41"/>
        <v>0111</v>
      </c>
      <c r="G146" s="1" t="str">
        <f t="shared" si="42"/>
        <v>101001010111</v>
      </c>
      <c r="H146" s="1">
        <f t="shared" si="43"/>
        <v>0</v>
      </c>
      <c r="I146" s="1" t="str">
        <f t="shared" si="44"/>
        <v>1010010010111</v>
      </c>
      <c r="J146" s="1">
        <f t="shared" si="45"/>
        <v>7</v>
      </c>
      <c r="K146" s="1" t="str">
        <f t="shared" si="46"/>
        <v>0001010010010111</v>
      </c>
      <c r="M146" s="1" t="str">
        <f t="shared" si="47"/>
        <v>01110001010010010111</v>
      </c>
      <c r="N146" s="1" t="b">
        <f t="shared" si="48"/>
        <v>0</v>
      </c>
      <c r="O146" s="1">
        <f t="shared" si="49"/>
        <v>464023</v>
      </c>
    </row>
    <row r="147" spans="1:15" x14ac:dyDescent="0.25">
      <c r="A147" s="1">
        <v>2045</v>
      </c>
      <c r="B147" s="2" t="s">
        <v>20</v>
      </c>
      <c r="C147" s="3" t="str">
        <f>IF(RIGHT(B147,4)="0000", LEFT(B147,LEN(B147)-4),"")</f>
        <v>101001001011</v>
      </c>
      <c r="D147" s="1" t="b">
        <f>C147&amp;"0000" = B147</f>
        <v>1</v>
      </c>
      <c r="E147" s="1" t="str">
        <f t="shared" si="40"/>
        <v>00000000101001001011</v>
      </c>
      <c r="F147" s="1" t="str">
        <f t="shared" si="41"/>
        <v>0000</v>
      </c>
      <c r="G147" s="1" t="str">
        <f t="shared" si="42"/>
        <v>101001001011</v>
      </c>
      <c r="H147" s="1">
        <f t="shared" si="43"/>
        <v>0</v>
      </c>
      <c r="I147" s="1" t="str">
        <f t="shared" si="44"/>
        <v>0101001001011</v>
      </c>
      <c r="J147" s="1">
        <f t="shared" si="45"/>
        <v>0</v>
      </c>
      <c r="K147" s="1" t="str">
        <f t="shared" si="46"/>
        <v>0000101001001011</v>
      </c>
      <c r="M147" s="1" t="str">
        <f t="shared" si="47"/>
        <v>00000000101001001011</v>
      </c>
      <c r="N147" s="1" t="b">
        <f t="shared" si="48"/>
        <v>1</v>
      </c>
      <c r="O147" s="1">
        <f t="shared" si="49"/>
        <v>2635</v>
      </c>
    </row>
    <row r="148" spans="1:15" x14ac:dyDescent="0.25">
      <c r="A148" s="1">
        <v>2046</v>
      </c>
      <c r="B148" s="2" t="s">
        <v>117</v>
      </c>
      <c r="C148" s="3" t="str">
        <f>IF(RIGHT(B148,4)="0000", LEFT(B148,LEN(B148)-4),"")</f>
        <v>101010100101</v>
      </c>
      <c r="D148" s="1" t="b">
        <f>C148&amp;"0000" = B148</f>
        <v>1</v>
      </c>
      <c r="E148" s="1" t="str">
        <f t="shared" si="40"/>
        <v>00000000101010100101</v>
      </c>
      <c r="F148" s="1" t="str">
        <f t="shared" si="41"/>
        <v>0000</v>
      </c>
      <c r="G148" s="1" t="str">
        <f t="shared" si="42"/>
        <v>101010100101</v>
      </c>
      <c r="H148" s="1">
        <f t="shared" si="43"/>
        <v>0</v>
      </c>
      <c r="I148" s="1" t="str">
        <f t="shared" si="44"/>
        <v>0101010100101</v>
      </c>
      <c r="J148" s="1">
        <f t="shared" si="45"/>
        <v>0</v>
      </c>
      <c r="K148" s="1" t="str">
        <f t="shared" si="46"/>
        <v>0000101010100101</v>
      </c>
      <c r="M148" s="1" t="str">
        <f t="shared" si="47"/>
        <v>00000000101010100101</v>
      </c>
      <c r="N148" s="1" t="b">
        <f t="shared" si="48"/>
        <v>1</v>
      </c>
      <c r="O148" s="1">
        <f t="shared" si="49"/>
        <v>2725</v>
      </c>
    </row>
    <row r="149" spans="1:15" x14ac:dyDescent="0.25">
      <c r="A149" s="1">
        <v>2047</v>
      </c>
      <c r="B149" s="2" t="s">
        <v>118</v>
      </c>
      <c r="C149" s="3" t="str">
        <f>IF(RIGHT(B149,4)="0000", LEFT(B149,LEN(B149)-4),"")</f>
        <v/>
      </c>
      <c r="D149" s="1" t="b">
        <f>C149&amp;"0000" = B149</f>
        <v>0</v>
      </c>
      <c r="E149" s="1" t="str">
        <f t="shared" si="40"/>
        <v>00000000000000000000</v>
      </c>
      <c r="F149" s="1" t="str">
        <f t="shared" si="41"/>
        <v>0101</v>
      </c>
      <c r="G149" s="1" t="str">
        <f t="shared" si="42"/>
        <v>101100100101</v>
      </c>
      <c r="H149" s="1">
        <f t="shared" si="43"/>
        <v>1</v>
      </c>
      <c r="I149" s="1" t="str">
        <f t="shared" si="44"/>
        <v>1011010100101</v>
      </c>
      <c r="J149" s="1">
        <f t="shared" si="45"/>
        <v>5</v>
      </c>
      <c r="K149" s="1" t="str">
        <f t="shared" si="46"/>
        <v>0001011010100101</v>
      </c>
      <c r="M149" s="1" t="str">
        <f t="shared" si="47"/>
        <v>01010001011010100101</v>
      </c>
      <c r="N149" s="1" t="b">
        <f t="shared" si="48"/>
        <v>0</v>
      </c>
      <c r="O149" s="1">
        <f t="shared" si="49"/>
        <v>333477</v>
      </c>
    </row>
    <row r="150" spans="1:15" x14ac:dyDescent="0.25">
      <c r="A150" s="1">
        <v>2048</v>
      </c>
      <c r="B150" s="2" t="s">
        <v>119</v>
      </c>
      <c r="C150" s="3" t="str">
        <f>IF(RIGHT(B150,4)="0000", LEFT(B150,LEN(B150)-4),"")</f>
        <v/>
      </c>
      <c r="D150" s="1" t="b">
        <f>C150&amp;"0000" = B150</f>
        <v>0</v>
      </c>
      <c r="E150" s="1" t="str">
        <f t="shared" si="40"/>
        <v>00000000000000000000</v>
      </c>
      <c r="F150" s="1" t="str">
        <f t="shared" si="41"/>
        <v>0000</v>
      </c>
      <c r="G150" s="1" t="str">
        <f t="shared" si="42"/>
        <v>011011010010</v>
      </c>
      <c r="H150" s="1">
        <f t="shared" si="43"/>
        <v>0</v>
      </c>
      <c r="I150" s="1" t="str">
        <f t="shared" si="44"/>
        <v>0011011010010</v>
      </c>
      <c r="J150" s="1">
        <f t="shared" si="45"/>
        <v>0</v>
      </c>
      <c r="K150" s="1" t="str">
        <f t="shared" si="46"/>
        <v>0000011011010010</v>
      </c>
      <c r="M150" s="1" t="str">
        <f t="shared" si="47"/>
        <v>00000000011011010010</v>
      </c>
      <c r="N150" s="1" t="b">
        <f t="shared" si="48"/>
        <v>0</v>
      </c>
      <c r="O150" s="1">
        <f t="shared" si="49"/>
        <v>1746</v>
      </c>
    </row>
    <row r="151" spans="1:15" x14ac:dyDescent="0.25">
      <c r="A151" s="1">
        <v>2049</v>
      </c>
      <c r="B151" s="2" t="s">
        <v>120</v>
      </c>
      <c r="C151" s="3" t="str">
        <f>IF(RIGHT(B151,4)="0000", LEFT(B151,LEN(B151)-4),"")</f>
        <v>101011011010</v>
      </c>
      <c r="D151" s="1" t="b">
        <f>C151&amp;"0000" = B151</f>
        <v>1</v>
      </c>
      <c r="E151" s="1" t="str">
        <f t="shared" si="40"/>
        <v>00000000101011011010</v>
      </c>
      <c r="F151" s="1" t="str">
        <f t="shared" si="41"/>
        <v>0000</v>
      </c>
      <c r="G151" s="1" t="str">
        <f t="shared" si="42"/>
        <v>101011011010</v>
      </c>
      <c r="H151" s="1">
        <f t="shared" si="43"/>
        <v>0</v>
      </c>
      <c r="I151" s="1" t="str">
        <f t="shared" si="44"/>
        <v>0101011011010</v>
      </c>
      <c r="J151" s="1">
        <f t="shared" si="45"/>
        <v>0</v>
      </c>
      <c r="K151" s="1" t="str">
        <f t="shared" si="46"/>
        <v>0000101011011010</v>
      </c>
      <c r="M151" s="1" t="str">
        <f t="shared" si="47"/>
        <v>00000000101011011010</v>
      </c>
      <c r="N151" s="1" t="b">
        <f t="shared" si="48"/>
        <v>1</v>
      </c>
      <c r="O151" s="1">
        <f t="shared" si="49"/>
        <v>2778</v>
      </c>
    </row>
    <row r="152" spans="1:15" x14ac:dyDescent="0.25">
      <c r="A152" s="1">
        <v>2050</v>
      </c>
      <c r="B152" s="2" t="s">
        <v>121</v>
      </c>
      <c r="C152" s="3" t="str">
        <f>IF(RIGHT(B152,4)="0000", LEFT(B152,LEN(B152)-4),"")</f>
        <v/>
      </c>
      <c r="D152" s="1" t="b">
        <f>C152&amp;"0000" = B152</f>
        <v>0</v>
      </c>
      <c r="E152" s="1" t="str">
        <f t="shared" si="40"/>
        <v>00000000000000000000</v>
      </c>
      <c r="F152" s="1" t="str">
        <f t="shared" si="41"/>
        <v>0011</v>
      </c>
      <c r="G152" s="1" t="str">
        <f t="shared" si="42"/>
        <v>010010110110</v>
      </c>
      <c r="H152" s="1">
        <f t="shared" si="43"/>
        <v>1</v>
      </c>
      <c r="I152" s="1" t="str">
        <f t="shared" si="44"/>
        <v>0101010110110</v>
      </c>
      <c r="J152" s="1">
        <f t="shared" si="45"/>
        <v>3</v>
      </c>
      <c r="K152" s="1" t="str">
        <f t="shared" si="46"/>
        <v>0000101010110110</v>
      </c>
      <c r="M152" s="1" t="str">
        <f t="shared" si="47"/>
        <v>00110000101010110110</v>
      </c>
      <c r="N152" s="1" t="b">
        <f t="shared" si="48"/>
        <v>0</v>
      </c>
      <c r="O152" s="1">
        <f t="shared" si="49"/>
        <v>199350</v>
      </c>
    </row>
    <row r="153" spans="1:15" x14ac:dyDescent="0.25">
      <c r="A153" s="1">
        <v>2051</v>
      </c>
      <c r="B153" s="2" t="s">
        <v>122</v>
      </c>
      <c r="C153" s="3" t="str">
        <f>IF(RIGHT(B153,4)="0000", LEFT(B153,LEN(B153)-4),"")</f>
        <v/>
      </c>
      <c r="D153" s="1" t="b">
        <f>C153&amp;"0000" = B153</f>
        <v>0</v>
      </c>
      <c r="E153" s="1" t="str">
        <f t="shared" si="40"/>
        <v>00000000000000000000</v>
      </c>
      <c r="F153" s="1" t="str">
        <f t="shared" si="41"/>
        <v>0000</v>
      </c>
      <c r="G153" s="1" t="str">
        <f t="shared" si="42"/>
        <v>100100110111</v>
      </c>
      <c r="H153" s="1">
        <f t="shared" si="43"/>
        <v>0</v>
      </c>
      <c r="I153" s="1" t="str">
        <f t="shared" si="44"/>
        <v>0100100110111</v>
      </c>
      <c r="J153" s="1">
        <f t="shared" si="45"/>
        <v>0</v>
      </c>
      <c r="K153" s="1" t="str">
        <f t="shared" si="46"/>
        <v>0000100100110111</v>
      </c>
      <c r="M153" s="1" t="str">
        <f t="shared" si="47"/>
        <v>00000000100100110111</v>
      </c>
      <c r="N153" s="1" t="b">
        <f t="shared" si="48"/>
        <v>0</v>
      </c>
      <c r="O153" s="1">
        <f t="shared" si="49"/>
        <v>2359</v>
      </c>
    </row>
    <row r="154" spans="1:15" x14ac:dyDescent="0.25">
      <c r="A154" s="1">
        <v>2052</v>
      </c>
      <c r="B154" s="2" t="s">
        <v>123</v>
      </c>
      <c r="C154" s="3" t="str">
        <f>IF(RIGHT(B154,4)="0000", LEFT(B154,LEN(B154)-4),"")</f>
        <v/>
      </c>
      <c r="D154" s="1" t="b">
        <f>C154&amp;"0000" = B154</f>
        <v>0</v>
      </c>
      <c r="E154" s="1" t="str">
        <f t="shared" si="40"/>
        <v>00000000000000000000</v>
      </c>
      <c r="F154" s="1" t="str">
        <f t="shared" si="41"/>
        <v>1000</v>
      </c>
      <c r="G154" s="1" t="str">
        <f t="shared" si="42"/>
        <v>010010011111</v>
      </c>
      <c r="H154" s="1">
        <f t="shared" si="43"/>
        <v>0</v>
      </c>
      <c r="I154" s="1" t="str">
        <f t="shared" si="44"/>
        <v>0100100101111</v>
      </c>
      <c r="J154" s="1">
        <f t="shared" si="45"/>
        <v>8</v>
      </c>
      <c r="K154" s="1" t="str">
        <f t="shared" si="46"/>
        <v>0000100100101111</v>
      </c>
      <c r="M154" s="1" t="str">
        <f t="shared" si="47"/>
        <v>10000000100100101111</v>
      </c>
      <c r="N154" s="1" t="b">
        <f t="shared" si="48"/>
        <v>0</v>
      </c>
      <c r="O154" s="1">
        <f t="shared" si="49"/>
        <v>526639</v>
      </c>
    </row>
    <row r="155" spans="1:15" x14ac:dyDescent="0.25">
      <c r="A155" s="1">
        <v>2053</v>
      </c>
      <c r="B155" s="2" t="s">
        <v>28</v>
      </c>
      <c r="C155" s="3" t="str">
        <f>IF(RIGHT(B155,4)="0000", LEFT(B155,LEN(B155)-4),"")</f>
        <v>10010010111</v>
      </c>
      <c r="D155" s="1" t="b">
        <f>C155&amp;"0000" = B155</f>
        <v>1</v>
      </c>
      <c r="E155" s="1" t="str">
        <f t="shared" si="40"/>
        <v>00000000010010010111</v>
      </c>
      <c r="F155" s="1" t="str">
        <f t="shared" si="41"/>
        <v>0000</v>
      </c>
      <c r="G155" s="1" t="str">
        <f t="shared" si="42"/>
        <v>010010010111</v>
      </c>
      <c r="H155" s="1">
        <f t="shared" si="43"/>
        <v>0</v>
      </c>
      <c r="I155" s="1" t="str">
        <f t="shared" si="44"/>
        <v>0010010010111</v>
      </c>
      <c r="J155" s="1">
        <f t="shared" si="45"/>
        <v>0</v>
      </c>
      <c r="K155" s="1" t="str">
        <f t="shared" si="46"/>
        <v>0000010010010111</v>
      </c>
      <c r="M155" s="1" t="str">
        <f t="shared" si="47"/>
        <v>00000000010010010111</v>
      </c>
      <c r="N155" s="1" t="b">
        <f t="shared" si="48"/>
        <v>1</v>
      </c>
      <c r="O155" s="1">
        <f t="shared" si="49"/>
        <v>1175</v>
      </c>
    </row>
    <row r="156" spans="1:15" x14ac:dyDescent="0.25">
      <c r="A156" s="1">
        <v>2054</v>
      </c>
      <c r="B156" s="2" t="s">
        <v>80</v>
      </c>
      <c r="C156" s="3" t="str">
        <f>IF(RIGHT(B156,4)="0000", LEFT(B156,LEN(B156)-4),"")</f>
        <v>11001001011</v>
      </c>
      <c r="D156" s="1" t="b">
        <f>C156&amp;"0000" = B156</f>
        <v>1</v>
      </c>
      <c r="E156" s="1" t="str">
        <f t="shared" si="40"/>
        <v>00000000011001001011</v>
      </c>
      <c r="F156" s="1" t="str">
        <f t="shared" si="41"/>
        <v>0000</v>
      </c>
      <c r="G156" s="1" t="str">
        <f t="shared" si="42"/>
        <v>011001001011</v>
      </c>
      <c r="H156" s="1">
        <f t="shared" si="43"/>
        <v>0</v>
      </c>
      <c r="I156" s="1" t="str">
        <f t="shared" si="44"/>
        <v>0011001001011</v>
      </c>
      <c r="J156" s="1">
        <f t="shared" si="45"/>
        <v>0</v>
      </c>
      <c r="K156" s="1" t="str">
        <f t="shared" si="46"/>
        <v>0000011001001011</v>
      </c>
      <c r="M156" s="1" t="str">
        <f t="shared" si="47"/>
        <v>00000000011001001011</v>
      </c>
      <c r="N156" s="1" t="b">
        <f t="shared" si="48"/>
        <v>1</v>
      </c>
      <c r="O156" s="1">
        <f t="shared" si="49"/>
        <v>1611</v>
      </c>
    </row>
    <row r="157" spans="1:15" x14ac:dyDescent="0.25">
      <c r="A157" s="1">
        <v>2055</v>
      </c>
      <c r="B157" s="2" t="s">
        <v>124</v>
      </c>
      <c r="C157" s="3" t="str">
        <f>IF(RIGHT(B157,4)="0000", LEFT(B157,LEN(B157)-4),"")</f>
        <v/>
      </c>
      <c r="D157" s="1" t="b">
        <f>C157&amp;"0000" = B157</f>
        <v>0</v>
      </c>
      <c r="E157" s="1" t="str">
        <f t="shared" si="40"/>
        <v>00000000000000000000</v>
      </c>
      <c r="F157" s="1" t="str">
        <f t="shared" si="41"/>
        <v>0110</v>
      </c>
      <c r="G157" s="1" t="str">
        <f t="shared" si="42"/>
        <v>011010001010</v>
      </c>
      <c r="H157" s="1">
        <f t="shared" si="43"/>
        <v>1</v>
      </c>
      <c r="I157" s="1" t="str">
        <f t="shared" si="44"/>
        <v>0110101001010</v>
      </c>
      <c r="J157" s="1">
        <f t="shared" si="45"/>
        <v>6</v>
      </c>
      <c r="K157" s="1" t="str">
        <f t="shared" si="46"/>
        <v>0000110101001010</v>
      </c>
      <c r="M157" s="1" t="str">
        <f t="shared" si="47"/>
        <v>01100000110101001010</v>
      </c>
      <c r="N157" s="1" t="b">
        <f t="shared" si="48"/>
        <v>0</v>
      </c>
      <c r="O157" s="1">
        <f t="shared" si="49"/>
        <v>396618</v>
      </c>
    </row>
    <row r="158" spans="1:15" x14ac:dyDescent="0.25">
      <c r="A158" s="1">
        <v>2056</v>
      </c>
      <c r="B158" s="2" t="s">
        <v>125</v>
      </c>
      <c r="C158" s="3" t="str">
        <f>IF(RIGHT(B158,4)="0000", LEFT(B158,LEN(B158)-4),"")</f>
        <v/>
      </c>
      <c r="D158" s="1" t="b">
        <f>C158&amp;"0000" = B158</f>
        <v>0</v>
      </c>
      <c r="E158" s="1" t="str">
        <f t="shared" si="40"/>
        <v>00000000000000000000</v>
      </c>
      <c r="F158" s="1" t="str">
        <f t="shared" si="41"/>
        <v>0000</v>
      </c>
      <c r="G158" s="1" t="str">
        <f t="shared" si="42"/>
        <v>111010100101</v>
      </c>
      <c r="H158" s="1">
        <f t="shared" si="43"/>
        <v>0</v>
      </c>
      <c r="I158" s="1" t="str">
        <f t="shared" si="44"/>
        <v>0111010100101</v>
      </c>
      <c r="J158" s="1">
        <f t="shared" si="45"/>
        <v>0</v>
      </c>
      <c r="K158" s="1" t="str">
        <f t="shared" si="46"/>
        <v>0000111010100101</v>
      </c>
      <c r="M158" s="1" t="str">
        <f t="shared" si="47"/>
        <v>00000000111010100101</v>
      </c>
      <c r="N158" s="1" t="b">
        <f t="shared" si="48"/>
        <v>0</v>
      </c>
      <c r="O158" s="1">
        <f t="shared" si="49"/>
        <v>3749</v>
      </c>
    </row>
    <row r="159" spans="1:15" x14ac:dyDescent="0.25">
      <c r="A159" s="1">
        <v>2057</v>
      </c>
      <c r="B159" s="2" t="s">
        <v>126</v>
      </c>
      <c r="C159" s="3" t="str">
        <f>IF(RIGHT(B159,4)="0000", LEFT(B159,LEN(B159)-4),"")</f>
        <v>11010110010</v>
      </c>
      <c r="D159" s="1" t="b">
        <f>C159&amp;"0000" = B159</f>
        <v>1</v>
      </c>
      <c r="E159" s="1" t="str">
        <f t="shared" si="40"/>
        <v>00000000011010110010</v>
      </c>
      <c r="F159" s="1" t="str">
        <f t="shared" si="41"/>
        <v>0000</v>
      </c>
      <c r="G159" s="1" t="str">
        <f t="shared" si="42"/>
        <v>011010110010</v>
      </c>
      <c r="H159" s="1">
        <f t="shared" si="43"/>
        <v>0</v>
      </c>
      <c r="I159" s="1" t="str">
        <f t="shared" si="44"/>
        <v>0011010110010</v>
      </c>
      <c r="J159" s="1">
        <f t="shared" si="45"/>
        <v>0</v>
      </c>
      <c r="K159" s="1" t="str">
        <f t="shared" si="46"/>
        <v>0000011010110010</v>
      </c>
      <c r="M159" s="1" t="str">
        <f t="shared" si="47"/>
        <v>00000000011010110010</v>
      </c>
      <c r="N159" s="1" t="b">
        <f t="shared" si="48"/>
        <v>1</v>
      </c>
      <c r="O159" s="1">
        <f t="shared" si="49"/>
        <v>1714</v>
      </c>
    </row>
    <row r="160" spans="1:15" x14ac:dyDescent="0.25">
      <c r="A160" s="1">
        <v>2058</v>
      </c>
      <c r="B160" s="2" t="s">
        <v>127</v>
      </c>
      <c r="C160" s="3" t="str">
        <f>IF(RIGHT(B160,4)="0000", LEFT(B160,LEN(B160)-4),"")</f>
        <v/>
      </c>
      <c r="D160" s="1" t="b">
        <f>C160&amp;"0000" = B160</f>
        <v>0</v>
      </c>
      <c r="E160" s="1" t="str">
        <f t="shared" si="40"/>
        <v>00000000000000000000</v>
      </c>
      <c r="F160" s="1" t="str">
        <f t="shared" si="41"/>
        <v>0100</v>
      </c>
      <c r="G160" s="1" t="str">
        <f t="shared" si="42"/>
        <v>101001101100</v>
      </c>
      <c r="H160" s="1">
        <f t="shared" si="43"/>
        <v>1</v>
      </c>
      <c r="I160" s="1" t="str">
        <f t="shared" si="44"/>
        <v>1010101101100</v>
      </c>
      <c r="J160" s="1">
        <f t="shared" si="45"/>
        <v>4</v>
      </c>
      <c r="K160" s="1" t="str">
        <f t="shared" si="46"/>
        <v>0001010101101100</v>
      </c>
      <c r="M160" s="1" t="str">
        <f t="shared" si="47"/>
        <v>01000001010101101100</v>
      </c>
      <c r="N160" s="1" t="b">
        <f t="shared" si="48"/>
        <v>0</v>
      </c>
      <c r="O160" s="1">
        <f t="shared" si="49"/>
        <v>267628</v>
      </c>
    </row>
    <row r="161" spans="1:15" x14ac:dyDescent="0.25">
      <c r="A161" s="1">
        <v>2059</v>
      </c>
      <c r="B161" s="2" t="s">
        <v>128</v>
      </c>
      <c r="C161" s="3" t="str">
        <f>IF(RIGHT(B161,4)="0000", LEFT(B161,LEN(B161)-4),"")</f>
        <v/>
      </c>
      <c r="D161" s="1" t="b">
        <f>C161&amp;"0000" = B161</f>
        <v>0</v>
      </c>
      <c r="E161" s="1" t="str">
        <f t="shared" si="40"/>
        <v>00000000000000000000</v>
      </c>
      <c r="F161" s="1" t="str">
        <f t="shared" si="41"/>
        <v>0000</v>
      </c>
      <c r="G161" s="1" t="str">
        <f t="shared" si="42"/>
        <v>101010101110</v>
      </c>
      <c r="H161" s="1">
        <f t="shared" si="43"/>
        <v>0</v>
      </c>
      <c r="I161" s="1" t="str">
        <f t="shared" si="44"/>
        <v>0101010101110</v>
      </c>
      <c r="J161" s="1">
        <f t="shared" si="45"/>
        <v>0</v>
      </c>
      <c r="K161" s="1" t="str">
        <f t="shared" si="46"/>
        <v>0000101010101110</v>
      </c>
      <c r="M161" s="1" t="str">
        <f t="shared" si="47"/>
        <v>00000000101010101110</v>
      </c>
      <c r="N161" s="1" t="b">
        <f t="shared" si="48"/>
        <v>0</v>
      </c>
      <c r="O161" s="1">
        <f t="shared" si="49"/>
        <v>2734</v>
      </c>
    </row>
    <row r="162" spans="1:15" x14ac:dyDescent="0.25">
      <c r="A162" s="1">
        <v>2060</v>
      </c>
      <c r="B162" s="2" t="s">
        <v>85</v>
      </c>
      <c r="C162" s="3" t="str">
        <f>IF(RIGHT(B162,4)="0000", LEFT(B162,LEN(B162)-4),"")</f>
        <v>100100101110</v>
      </c>
      <c r="D162" s="1" t="b">
        <f>C162&amp;"0000" = B162</f>
        <v>1</v>
      </c>
      <c r="E162" s="1" t="str">
        <f t="shared" si="40"/>
        <v>00000000100100101110</v>
      </c>
      <c r="F162" s="1" t="str">
        <f t="shared" si="41"/>
        <v>0000</v>
      </c>
      <c r="G162" s="1" t="str">
        <f t="shared" si="42"/>
        <v>100100101110</v>
      </c>
      <c r="H162" s="1">
        <f t="shared" si="43"/>
        <v>0</v>
      </c>
      <c r="I162" s="1" t="str">
        <f t="shared" si="44"/>
        <v>0100100101110</v>
      </c>
      <c r="J162" s="1">
        <f t="shared" si="45"/>
        <v>0</v>
      </c>
      <c r="K162" s="1" t="str">
        <f t="shared" si="46"/>
        <v>0000100100101110</v>
      </c>
      <c r="M162" s="1" t="str">
        <f t="shared" si="47"/>
        <v>00000000100100101110</v>
      </c>
      <c r="N162" s="1" t="b">
        <f t="shared" si="48"/>
        <v>1</v>
      </c>
      <c r="O162" s="1">
        <f t="shared" si="49"/>
        <v>2350</v>
      </c>
    </row>
    <row r="163" spans="1:15" x14ac:dyDescent="0.25">
      <c r="A163" s="1">
        <v>2061</v>
      </c>
      <c r="B163" s="2" t="s">
        <v>129</v>
      </c>
      <c r="C163" s="3" t="str">
        <f>IF(RIGHT(B163,4)="0000", LEFT(B163,LEN(B163)-4),"")</f>
        <v/>
      </c>
      <c r="D163" s="1" t="b">
        <f>C163&amp;"0000" = B163</f>
        <v>0</v>
      </c>
      <c r="E163" s="1" t="str">
        <f t="shared" si="40"/>
        <v>00000000000000000000</v>
      </c>
      <c r="F163" s="1" t="str">
        <f t="shared" si="41"/>
        <v>0011</v>
      </c>
      <c r="G163" s="1" t="str">
        <f t="shared" si="42"/>
        <v>110100101110</v>
      </c>
      <c r="H163" s="1">
        <f t="shared" si="43"/>
        <v>0</v>
      </c>
      <c r="I163" s="1" t="str">
        <f t="shared" si="44"/>
        <v>1100100101110</v>
      </c>
      <c r="J163" s="1">
        <f t="shared" si="45"/>
        <v>3</v>
      </c>
      <c r="K163" s="1" t="str">
        <f t="shared" si="46"/>
        <v>0001100100101110</v>
      </c>
      <c r="M163" s="1" t="str">
        <f t="shared" si="47"/>
        <v>00110001100100101110</v>
      </c>
      <c r="N163" s="1" t="b">
        <f t="shared" si="48"/>
        <v>0</v>
      </c>
      <c r="O163" s="1">
        <f t="shared" si="49"/>
        <v>203054</v>
      </c>
    </row>
    <row r="164" spans="1:15" x14ac:dyDescent="0.25">
      <c r="A164" s="1">
        <v>2062</v>
      </c>
      <c r="B164" s="2" t="s">
        <v>86</v>
      </c>
      <c r="C164" s="3" t="str">
        <f>IF(RIGHT(B164,4)="0000", LEFT(B164,LEN(B164)-4),"")</f>
        <v>110010010110</v>
      </c>
      <c r="D164" s="1" t="b">
        <f>C164&amp;"0000" = B164</f>
        <v>1</v>
      </c>
      <c r="E164" s="1" t="str">
        <f t="shared" si="40"/>
        <v>00000000110010010110</v>
      </c>
      <c r="F164" s="1" t="str">
        <f t="shared" si="41"/>
        <v>0000</v>
      </c>
      <c r="G164" s="1" t="str">
        <f t="shared" si="42"/>
        <v>110010010110</v>
      </c>
      <c r="H164" s="1">
        <f t="shared" si="43"/>
        <v>0</v>
      </c>
      <c r="I164" s="1" t="str">
        <f t="shared" si="44"/>
        <v>0110010010110</v>
      </c>
      <c r="J164" s="1">
        <f t="shared" si="45"/>
        <v>0</v>
      </c>
      <c r="K164" s="1" t="str">
        <f t="shared" si="46"/>
        <v>0000110010010110</v>
      </c>
      <c r="M164" s="1" t="str">
        <f t="shared" si="47"/>
        <v>00000000110010010110</v>
      </c>
      <c r="N164" s="1" t="b">
        <f t="shared" si="48"/>
        <v>1</v>
      </c>
      <c r="O164" s="1">
        <f t="shared" si="49"/>
        <v>3222</v>
      </c>
    </row>
    <row r="165" spans="1:15" x14ac:dyDescent="0.25">
      <c r="A165" s="1">
        <v>2063</v>
      </c>
      <c r="B165" s="2" t="s">
        <v>130</v>
      </c>
      <c r="C165" s="3" t="str">
        <f>IF(RIGHT(B165,4)="0000", LEFT(B165,LEN(B165)-4),"")</f>
        <v/>
      </c>
      <c r="D165" s="1" t="b">
        <f>C165&amp;"0000" = B165</f>
        <v>0</v>
      </c>
      <c r="E165" s="1" t="str">
        <f t="shared" si="40"/>
        <v>00000000000000000000</v>
      </c>
      <c r="F165" s="1" t="str">
        <f t="shared" si="41"/>
        <v>0111</v>
      </c>
      <c r="G165" s="1" t="str">
        <f t="shared" si="42"/>
        <v>110101010101</v>
      </c>
      <c r="H165" s="1">
        <f t="shared" si="43"/>
        <v>0</v>
      </c>
      <c r="I165" s="1" t="str">
        <f t="shared" si="44"/>
        <v>1101010010101</v>
      </c>
      <c r="J165" s="1">
        <f t="shared" si="45"/>
        <v>7</v>
      </c>
      <c r="K165" s="1" t="str">
        <f t="shared" si="46"/>
        <v>0001101010010101</v>
      </c>
      <c r="M165" s="1" t="str">
        <f t="shared" si="47"/>
        <v>01110001101010010101</v>
      </c>
      <c r="N165" s="1" t="b">
        <f t="shared" si="48"/>
        <v>0</v>
      </c>
      <c r="O165" s="1">
        <f t="shared" si="49"/>
        <v>465557</v>
      </c>
    </row>
    <row r="166" spans="1:15" x14ac:dyDescent="0.25">
      <c r="A166" s="1">
        <v>2064</v>
      </c>
      <c r="B166" s="2" t="s">
        <v>30</v>
      </c>
      <c r="C166" s="3" t="str">
        <f>IF(RIGHT(B166,4)="0000", LEFT(B166,LEN(B166)-4),"")</f>
        <v>110101001010</v>
      </c>
      <c r="D166" s="1" t="b">
        <f>C166&amp;"0000" = B166</f>
        <v>1</v>
      </c>
      <c r="E166" s="1" t="str">
        <f t="shared" si="40"/>
        <v>00000000110101001010</v>
      </c>
      <c r="F166" s="1" t="str">
        <f t="shared" si="41"/>
        <v>0000</v>
      </c>
      <c r="G166" s="1" t="str">
        <f t="shared" si="42"/>
        <v>110101001010</v>
      </c>
      <c r="H166" s="1">
        <f t="shared" si="43"/>
        <v>0</v>
      </c>
      <c r="I166" s="1" t="str">
        <f t="shared" si="44"/>
        <v>0110101001010</v>
      </c>
      <c r="J166" s="1">
        <f t="shared" si="45"/>
        <v>0</v>
      </c>
      <c r="K166" s="1" t="str">
        <f t="shared" si="46"/>
        <v>0000110101001010</v>
      </c>
      <c r="M166" s="1" t="str">
        <f t="shared" si="47"/>
        <v>00000000110101001010</v>
      </c>
      <c r="N166" s="1" t="b">
        <f t="shared" si="48"/>
        <v>1</v>
      </c>
      <c r="O166" s="1">
        <f t="shared" si="49"/>
        <v>3402</v>
      </c>
    </row>
    <row r="167" spans="1:15" x14ac:dyDescent="0.25">
      <c r="A167" s="1">
        <v>2065</v>
      </c>
      <c r="B167" s="2" t="s">
        <v>88</v>
      </c>
      <c r="C167" s="3" t="str">
        <f>IF(RIGHT(B167,4)="0000", LEFT(B167,LEN(B167)-4),"")</f>
        <v>110110100101</v>
      </c>
      <c r="D167" s="1" t="b">
        <f>C167&amp;"0000" = B167</f>
        <v>1</v>
      </c>
      <c r="E167" s="1" t="str">
        <f t="shared" si="40"/>
        <v>00000000110110100101</v>
      </c>
      <c r="F167" s="1" t="str">
        <f t="shared" si="41"/>
        <v>0000</v>
      </c>
      <c r="G167" s="1" t="str">
        <f t="shared" si="42"/>
        <v>110110100101</v>
      </c>
      <c r="H167" s="1">
        <f t="shared" si="43"/>
        <v>0</v>
      </c>
      <c r="I167" s="1" t="str">
        <f t="shared" si="44"/>
        <v>0110110100101</v>
      </c>
      <c r="J167" s="1">
        <f t="shared" si="45"/>
        <v>0</v>
      </c>
      <c r="K167" s="1" t="str">
        <f t="shared" si="46"/>
        <v>0000110110100101</v>
      </c>
      <c r="M167" s="1" t="str">
        <f t="shared" si="47"/>
        <v>00000000110110100101</v>
      </c>
      <c r="N167" s="1" t="b">
        <f t="shared" si="48"/>
        <v>1</v>
      </c>
      <c r="O167" s="1">
        <f t="shared" si="49"/>
        <v>3493</v>
      </c>
    </row>
    <row r="168" spans="1:15" x14ac:dyDescent="0.25">
      <c r="A168" s="1">
        <v>2066</v>
      </c>
      <c r="B168" s="2" t="s">
        <v>131</v>
      </c>
      <c r="C168" s="3" t="str">
        <f>IF(RIGHT(B168,4)="0000", LEFT(B168,LEN(B168)-4),"")</f>
        <v/>
      </c>
      <c r="D168" s="1" t="b">
        <f>C168&amp;"0000" = B168</f>
        <v>0</v>
      </c>
      <c r="E168" s="1" t="str">
        <f t="shared" si="40"/>
        <v>00000000000000000000</v>
      </c>
      <c r="F168" s="1" t="str">
        <f t="shared" si="41"/>
        <v>0101</v>
      </c>
      <c r="G168" s="1" t="str">
        <f t="shared" si="42"/>
        <v>010111010101</v>
      </c>
      <c r="H168" s="1">
        <f t="shared" si="43"/>
        <v>0</v>
      </c>
      <c r="I168" s="1" t="str">
        <f t="shared" si="44"/>
        <v>0101101010101</v>
      </c>
      <c r="J168" s="1">
        <f t="shared" si="45"/>
        <v>5</v>
      </c>
      <c r="K168" s="1" t="str">
        <f t="shared" si="46"/>
        <v>0000101101010101</v>
      </c>
      <c r="M168" s="1" t="str">
        <f t="shared" si="47"/>
        <v>01010000101101010101</v>
      </c>
      <c r="N168" s="1" t="b">
        <f t="shared" si="48"/>
        <v>0</v>
      </c>
      <c r="O168" s="1">
        <f t="shared" si="49"/>
        <v>330581</v>
      </c>
    </row>
    <row r="169" spans="1:15" x14ac:dyDescent="0.25">
      <c r="A169" s="1">
        <v>2067</v>
      </c>
      <c r="B169" s="2" t="s">
        <v>41</v>
      </c>
      <c r="C169" s="3" t="str">
        <f>IF(RIGHT(B169,4)="0000", LEFT(B169,LEN(B169)-4),"")</f>
        <v>10101101010</v>
      </c>
      <c r="D169" s="1" t="b">
        <f>C169&amp;"0000" = B169</f>
        <v>1</v>
      </c>
      <c r="E169" s="1" t="str">
        <f t="shared" si="40"/>
        <v>00000000010101101010</v>
      </c>
      <c r="F169" s="1" t="str">
        <f t="shared" si="41"/>
        <v>0000</v>
      </c>
      <c r="G169" s="1" t="str">
        <f t="shared" si="42"/>
        <v>010101101010</v>
      </c>
      <c r="H169" s="1">
        <f t="shared" si="43"/>
        <v>0</v>
      </c>
      <c r="I169" s="1" t="str">
        <f t="shared" si="44"/>
        <v>0010101101010</v>
      </c>
      <c r="J169" s="1">
        <f t="shared" si="45"/>
        <v>0</v>
      </c>
      <c r="K169" s="1" t="str">
        <f t="shared" si="46"/>
        <v>0000010101101010</v>
      </c>
      <c r="M169" s="1" t="str">
        <f t="shared" si="47"/>
        <v>00000000010101101010</v>
      </c>
      <c r="N169" s="1" t="b">
        <f t="shared" si="48"/>
        <v>1</v>
      </c>
      <c r="O169" s="1">
        <f t="shared" si="49"/>
        <v>1386</v>
      </c>
    </row>
    <row r="170" spans="1:15" x14ac:dyDescent="0.25">
      <c r="A170" s="1">
        <v>2068</v>
      </c>
      <c r="B170" s="2" t="s">
        <v>132</v>
      </c>
      <c r="C170" s="3" t="str">
        <f>IF(RIGHT(B170,4)="0000", LEFT(B170,LEN(B170)-4),"")</f>
        <v>101001101101</v>
      </c>
      <c r="D170" s="1" t="b">
        <f>C170&amp;"0000" = B170</f>
        <v>1</v>
      </c>
      <c r="E170" s="1" t="str">
        <f t="shared" si="40"/>
        <v>00000000101001101101</v>
      </c>
      <c r="F170" s="1" t="str">
        <f t="shared" si="41"/>
        <v>0000</v>
      </c>
      <c r="G170" s="1" t="str">
        <f t="shared" si="42"/>
        <v>101001101101</v>
      </c>
      <c r="H170" s="1">
        <f t="shared" si="43"/>
        <v>0</v>
      </c>
      <c r="I170" s="1" t="str">
        <f t="shared" si="44"/>
        <v>0101001101101</v>
      </c>
      <c r="J170" s="1">
        <f t="shared" si="45"/>
        <v>0</v>
      </c>
      <c r="K170" s="1" t="str">
        <f t="shared" si="46"/>
        <v>0000101001101101</v>
      </c>
      <c r="M170" s="1" t="str">
        <f t="shared" si="47"/>
        <v>00000000101001101101</v>
      </c>
      <c r="N170" s="1" t="b">
        <f t="shared" si="48"/>
        <v>1</v>
      </c>
      <c r="O170" s="1">
        <f t="shared" si="49"/>
        <v>2669</v>
      </c>
    </row>
    <row r="171" spans="1:15" x14ac:dyDescent="0.25">
      <c r="A171" s="1">
        <v>2069</v>
      </c>
      <c r="B171" s="2" t="s">
        <v>133</v>
      </c>
      <c r="C171" s="3" t="str">
        <f>IF(RIGHT(B171,4)="0000", LEFT(B171,LEN(B171)-4),"")</f>
        <v/>
      </c>
      <c r="D171" s="1" t="b">
        <f>C171&amp;"0000" = B171</f>
        <v>0</v>
      </c>
      <c r="E171" s="1" t="str">
        <f t="shared" si="40"/>
        <v>00000000000000000000</v>
      </c>
      <c r="F171" s="1" t="str">
        <f t="shared" si="41"/>
        <v>0100</v>
      </c>
      <c r="G171" s="1" t="str">
        <f t="shared" si="42"/>
        <v>010101011101</v>
      </c>
      <c r="H171" s="1">
        <f t="shared" si="43"/>
        <v>0</v>
      </c>
      <c r="I171" s="1" t="str">
        <f t="shared" si="44"/>
        <v>0101001011101</v>
      </c>
      <c r="J171" s="1">
        <f t="shared" si="45"/>
        <v>4</v>
      </c>
      <c r="K171" s="1" t="str">
        <f t="shared" si="46"/>
        <v>0000101001011101</v>
      </c>
      <c r="M171" s="1" t="str">
        <f t="shared" si="47"/>
        <v>01000000101001011101</v>
      </c>
      <c r="N171" s="1" t="b">
        <f t="shared" si="48"/>
        <v>0</v>
      </c>
      <c r="O171" s="1">
        <f t="shared" si="49"/>
        <v>264797</v>
      </c>
    </row>
    <row r="172" spans="1:15" x14ac:dyDescent="0.25">
      <c r="A172" s="1">
        <v>2070</v>
      </c>
      <c r="B172" s="2" t="s">
        <v>134</v>
      </c>
      <c r="C172" s="3" t="str">
        <f>IF(RIGHT(B172,4)="0000", LEFT(B172,LEN(B172)-4),"")</f>
        <v>10100101101</v>
      </c>
      <c r="D172" s="1" t="b">
        <f>C172&amp;"0000" = B172</f>
        <v>1</v>
      </c>
      <c r="E172" s="1" t="str">
        <f t="shared" si="40"/>
        <v>00000000010100101101</v>
      </c>
      <c r="F172" s="1" t="str">
        <f t="shared" si="41"/>
        <v>0000</v>
      </c>
      <c r="G172" s="1" t="str">
        <f t="shared" si="42"/>
        <v>010100101101</v>
      </c>
      <c r="H172" s="1">
        <f t="shared" si="43"/>
        <v>0</v>
      </c>
      <c r="I172" s="1" t="str">
        <f t="shared" si="44"/>
        <v>0010100101101</v>
      </c>
      <c r="J172" s="1">
        <f t="shared" si="45"/>
        <v>0</v>
      </c>
      <c r="K172" s="1" t="str">
        <f t="shared" si="46"/>
        <v>0000010100101101</v>
      </c>
      <c r="M172" s="1" t="str">
        <f t="shared" si="47"/>
        <v>00000000010100101101</v>
      </c>
      <c r="N172" s="1" t="b">
        <f t="shared" si="48"/>
        <v>1</v>
      </c>
      <c r="O172" s="1">
        <f t="shared" si="49"/>
        <v>1325</v>
      </c>
    </row>
    <row r="173" spans="1:15" x14ac:dyDescent="0.25">
      <c r="A173" s="1">
        <v>2071</v>
      </c>
      <c r="B173" s="2" t="s">
        <v>135</v>
      </c>
      <c r="C173" s="3" t="str">
        <f>IF(RIGHT(B173,4)="0000", LEFT(B173,LEN(B173)-4),"")</f>
        <v/>
      </c>
      <c r="D173" s="1" t="b">
        <f>C173&amp;"0000" = B173</f>
        <v>0</v>
      </c>
      <c r="E173" s="1" t="str">
        <f t="shared" si="40"/>
        <v>00000000000000000000</v>
      </c>
      <c r="F173" s="1" t="str">
        <f t="shared" si="41"/>
        <v>1000</v>
      </c>
      <c r="G173" s="1" t="str">
        <f t="shared" si="42"/>
        <v>101010011011</v>
      </c>
      <c r="H173" s="1">
        <f t="shared" si="43"/>
        <v>0</v>
      </c>
      <c r="I173" s="1" t="str">
        <f t="shared" si="44"/>
        <v>1010100101011</v>
      </c>
      <c r="J173" s="1">
        <f t="shared" si="45"/>
        <v>8</v>
      </c>
      <c r="K173" s="1" t="str">
        <f t="shared" si="46"/>
        <v>0001010100101011</v>
      </c>
      <c r="M173" s="1" t="str">
        <f t="shared" si="47"/>
        <v>10000001010100101011</v>
      </c>
      <c r="N173" s="1" t="b">
        <f t="shared" si="48"/>
        <v>0</v>
      </c>
      <c r="O173" s="1">
        <f t="shared" si="49"/>
        <v>529707</v>
      </c>
    </row>
    <row r="174" spans="1:15" x14ac:dyDescent="0.25">
      <c r="A174" s="1">
        <v>2072</v>
      </c>
      <c r="B174" s="2" t="s">
        <v>46</v>
      </c>
      <c r="C174" s="3" t="str">
        <f>IF(RIGHT(B174,4)="0000", LEFT(B174,LEN(B174)-4),"")</f>
        <v>101010010101</v>
      </c>
      <c r="D174" s="1" t="b">
        <f>C174&amp;"0000" = B174</f>
        <v>1</v>
      </c>
      <c r="E174" s="1" t="str">
        <f t="shared" si="40"/>
        <v>00000000101010010101</v>
      </c>
      <c r="F174" s="1" t="str">
        <f t="shared" si="41"/>
        <v>0000</v>
      </c>
      <c r="G174" s="1" t="str">
        <f t="shared" si="42"/>
        <v>101010010101</v>
      </c>
      <c r="H174" s="1">
        <f t="shared" si="43"/>
        <v>0</v>
      </c>
      <c r="I174" s="1" t="str">
        <f t="shared" si="44"/>
        <v>0101010010101</v>
      </c>
      <c r="J174" s="1">
        <f t="shared" si="45"/>
        <v>0</v>
      </c>
      <c r="K174" s="1" t="str">
        <f t="shared" si="46"/>
        <v>0000101010010101</v>
      </c>
      <c r="M174" s="1" t="str">
        <f t="shared" si="47"/>
        <v>00000000101010010101</v>
      </c>
      <c r="N174" s="1" t="b">
        <f t="shared" si="48"/>
        <v>1</v>
      </c>
      <c r="O174" s="1">
        <f t="shared" si="49"/>
        <v>2709</v>
      </c>
    </row>
    <row r="175" spans="1:15" x14ac:dyDescent="0.25">
      <c r="A175" s="1">
        <v>2073</v>
      </c>
      <c r="B175" s="2" t="s">
        <v>93</v>
      </c>
      <c r="C175" s="3" t="str">
        <f>IF(RIGHT(B175,4)="0000", LEFT(B175,LEN(B175)-4),"")</f>
        <v>101101001010</v>
      </c>
      <c r="D175" s="1" t="b">
        <f>C175&amp;"0000" = B175</f>
        <v>1</v>
      </c>
      <c r="E175" s="1" t="str">
        <f t="shared" si="40"/>
        <v>00000000101101001010</v>
      </c>
      <c r="F175" s="1" t="str">
        <f t="shared" si="41"/>
        <v>0000</v>
      </c>
      <c r="G175" s="1" t="str">
        <f t="shared" si="42"/>
        <v>101101001010</v>
      </c>
      <c r="H175" s="1">
        <f t="shared" si="43"/>
        <v>0</v>
      </c>
      <c r="I175" s="1" t="str">
        <f t="shared" si="44"/>
        <v>0101101001010</v>
      </c>
      <c r="J175" s="1">
        <f t="shared" si="45"/>
        <v>0</v>
      </c>
      <c r="K175" s="1" t="str">
        <f t="shared" si="46"/>
        <v>0000101101001010</v>
      </c>
      <c r="M175" s="1" t="str">
        <f t="shared" si="47"/>
        <v>00000000101101001010</v>
      </c>
      <c r="N175" s="1" t="b">
        <f t="shared" si="48"/>
        <v>1</v>
      </c>
      <c r="O175" s="1">
        <f t="shared" si="49"/>
        <v>2890</v>
      </c>
    </row>
    <row r="176" spans="1:15" x14ac:dyDescent="0.25">
      <c r="A176" s="1">
        <v>2074</v>
      </c>
      <c r="B176" s="2" t="s">
        <v>136</v>
      </c>
      <c r="C176" s="3" t="str">
        <f>IF(RIGHT(B176,4)="0000", LEFT(B176,LEN(B176)-4),"")</f>
        <v/>
      </c>
      <c r="D176" s="1" t="b">
        <f>C176&amp;"0000" = B176</f>
        <v>0</v>
      </c>
      <c r="E176" s="1" t="str">
        <f t="shared" si="40"/>
        <v>00000000000000000000</v>
      </c>
      <c r="F176" s="1" t="str">
        <f t="shared" si="41"/>
        <v>0110</v>
      </c>
      <c r="G176" s="1" t="str">
        <f t="shared" si="42"/>
        <v>101101101010</v>
      </c>
      <c r="H176" s="1">
        <f t="shared" si="43"/>
        <v>0</v>
      </c>
      <c r="I176" s="1" t="str">
        <f t="shared" si="44"/>
        <v>1011010101010</v>
      </c>
      <c r="J176" s="1">
        <f t="shared" si="45"/>
        <v>6</v>
      </c>
      <c r="K176" s="1" t="str">
        <f t="shared" si="46"/>
        <v>0001011010101010</v>
      </c>
      <c r="M176" s="1" t="str">
        <f t="shared" si="47"/>
        <v>01100001011010101010</v>
      </c>
      <c r="N176" s="1" t="b">
        <f t="shared" si="48"/>
        <v>0</v>
      </c>
      <c r="O176" s="1">
        <f t="shared" si="49"/>
        <v>399018</v>
      </c>
    </row>
    <row r="177" spans="1:15" x14ac:dyDescent="0.25">
      <c r="A177" s="1">
        <v>2075</v>
      </c>
      <c r="B177" s="2" t="s">
        <v>95</v>
      </c>
      <c r="C177" s="3" t="str">
        <f>IF(RIGHT(B177,4)="0000", LEFT(B177,LEN(B177)-4),"")</f>
        <v>101011010101</v>
      </c>
      <c r="D177" s="1" t="b">
        <f>C177&amp;"0000" = B177</f>
        <v>1</v>
      </c>
      <c r="E177" s="1" t="str">
        <f t="shared" si="40"/>
        <v>00000000101011010101</v>
      </c>
      <c r="F177" s="1" t="str">
        <f t="shared" si="41"/>
        <v>0000</v>
      </c>
      <c r="G177" s="1" t="str">
        <f t="shared" si="42"/>
        <v>101011010101</v>
      </c>
      <c r="H177" s="1">
        <f t="shared" si="43"/>
        <v>0</v>
      </c>
      <c r="I177" s="1" t="str">
        <f t="shared" si="44"/>
        <v>0101011010101</v>
      </c>
      <c r="J177" s="1">
        <f t="shared" si="45"/>
        <v>0</v>
      </c>
      <c r="K177" s="1" t="str">
        <f t="shared" si="46"/>
        <v>0000101011010101</v>
      </c>
      <c r="M177" s="1" t="str">
        <f t="shared" si="47"/>
        <v>00000000101011010101</v>
      </c>
      <c r="N177" s="1" t="b">
        <f t="shared" si="48"/>
        <v>1</v>
      </c>
      <c r="O177" s="1">
        <f t="shared" si="49"/>
        <v>2773</v>
      </c>
    </row>
    <row r="178" spans="1:15" x14ac:dyDescent="0.25">
      <c r="A178" s="1">
        <v>2076</v>
      </c>
      <c r="B178" s="2" t="s">
        <v>137</v>
      </c>
      <c r="C178" s="3" t="str">
        <f>IF(RIGHT(B178,4)="0000", LEFT(B178,LEN(B178)-4),"")</f>
        <v>10101011010</v>
      </c>
      <c r="D178" s="1" t="b">
        <f>C178&amp;"0000" = B178</f>
        <v>1</v>
      </c>
      <c r="E178" s="1" t="str">
        <f t="shared" si="40"/>
        <v>00000000010101011010</v>
      </c>
      <c r="F178" s="1" t="str">
        <f t="shared" si="41"/>
        <v>0000</v>
      </c>
      <c r="G178" s="1" t="str">
        <f t="shared" si="42"/>
        <v>010101011010</v>
      </c>
      <c r="H178" s="1">
        <f t="shared" si="43"/>
        <v>0</v>
      </c>
      <c r="I178" s="1" t="str">
        <f t="shared" si="44"/>
        <v>0010101011010</v>
      </c>
      <c r="J178" s="1">
        <f t="shared" si="45"/>
        <v>0</v>
      </c>
      <c r="K178" s="1" t="str">
        <f t="shared" si="46"/>
        <v>0000010101011010</v>
      </c>
      <c r="M178" s="1" t="str">
        <f t="shared" si="47"/>
        <v>00000000010101011010</v>
      </c>
      <c r="N178" s="1" t="b">
        <f t="shared" si="48"/>
        <v>1</v>
      </c>
      <c r="O178" s="1">
        <f t="shared" si="49"/>
        <v>1370</v>
      </c>
    </row>
    <row r="179" spans="1:15" x14ac:dyDescent="0.25">
      <c r="A179" s="1">
        <v>2077</v>
      </c>
      <c r="B179" s="2" t="s">
        <v>138</v>
      </c>
      <c r="C179" s="3" t="str">
        <f>IF(RIGHT(B179,4)="0000", LEFT(B179,LEN(B179)-4),"")</f>
        <v/>
      </c>
      <c r="D179" s="1" t="b">
        <f>C179&amp;"0000" = B179</f>
        <v>0</v>
      </c>
      <c r="E179" s="1" t="str">
        <f t="shared" si="40"/>
        <v>00000000000000000000</v>
      </c>
      <c r="F179" s="1" t="str">
        <f t="shared" si="41"/>
        <v>0100</v>
      </c>
      <c r="G179" s="1" t="str">
        <f t="shared" si="42"/>
        <v>101010111010</v>
      </c>
      <c r="H179" s="1">
        <f t="shared" si="43"/>
        <v>0</v>
      </c>
      <c r="I179" s="1" t="str">
        <f t="shared" si="44"/>
        <v>1010010111010</v>
      </c>
      <c r="J179" s="1">
        <f t="shared" si="45"/>
        <v>4</v>
      </c>
      <c r="K179" s="1" t="str">
        <f t="shared" si="46"/>
        <v>0001010010111010</v>
      </c>
      <c r="M179" s="1" t="str">
        <f t="shared" si="47"/>
        <v>01000001010010111010</v>
      </c>
      <c r="N179" s="1" t="b">
        <f t="shared" si="48"/>
        <v>0</v>
      </c>
      <c r="O179" s="1">
        <f t="shared" si="49"/>
        <v>267450</v>
      </c>
    </row>
    <row r="180" spans="1:15" x14ac:dyDescent="0.25">
      <c r="A180" s="1">
        <v>2078</v>
      </c>
      <c r="B180" s="2" t="s">
        <v>52</v>
      </c>
      <c r="C180" s="3" t="str">
        <f>IF(RIGHT(B180,4)="0000", LEFT(B180,LEN(B180)-4),"")</f>
        <v>101001011011</v>
      </c>
      <c r="D180" s="1" t="b">
        <f>C180&amp;"0000" = B180</f>
        <v>1</v>
      </c>
      <c r="E180" s="1" t="str">
        <f t="shared" si="40"/>
        <v>00000000101001011011</v>
      </c>
      <c r="F180" s="1" t="str">
        <f t="shared" si="41"/>
        <v>0000</v>
      </c>
      <c r="G180" s="1" t="str">
        <f t="shared" si="42"/>
        <v>101001011011</v>
      </c>
      <c r="H180" s="1">
        <f t="shared" si="43"/>
        <v>0</v>
      </c>
      <c r="I180" s="1" t="str">
        <f t="shared" si="44"/>
        <v>0101001011011</v>
      </c>
      <c r="J180" s="1">
        <f t="shared" si="45"/>
        <v>0</v>
      </c>
      <c r="K180" s="1" t="str">
        <f t="shared" si="46"/>
        <v>0000101001011011</v>
      </c>
      <c r="M180" s="1" t="str">
        <f t="shared" si="47"/>
        <v>00000000101001011011</v>
      </c>
      <c r="N180" s="1" t="b">
        <f t="shared" si="48"/>
        <v>1</v>
      </c>
      <c r="O180" s="1">
        <f t="shared" si="49"/>
        <v>2651</v>
      </c>
    </row>
    <row r="181" spans="1:15" x14ac:dyDescent="0.25">
      <c r="A181" s="1">
        <v>2079</v>
      </c>
      <c r="B181" s="2" t="s">
        <v>139</v>
      </c>
      <c r="C181" s="3" t="str">
        <f>IF(RIGHT(B181,4)="0000", LEFT(B181,LEN(B181)-4),"")</f>
        <v>10100101011</v>
      </c>
      <c r="D181" s="1" t="b">
        <f>C181&amp;"0000" = B181</f>
        <v>1</v>
      </c>
      <c r="E181" s="1" t="str">
        <f t="shared" si="40"/>
        <v>00000000010100101011</v>
      </c>
      <c r="F181" s="1" t="str">
        <f t="shared" si="41"/>
        <v>0000</v>
      </c>
      <c r="G181" s="1" t="str">
        <f t="shared" si="42"/>
        <v>010100101011</v>
      </c>
      <c r="H181" s="1">
        <f t="shared" si="43"/>
        <v>0</v>
      </c>
      <c r="I181" s="1" t="str">
        <f t="shared" si="44"/>
        <v>0010100101011</v>
      </c>
      <c r="J181" s="1">
        <f t="shared" si="45"/>
        <v>0</v>
      </c>
      <c r="K181" s="1" t="str">
        <f t="shared" si="46"/>
        <v>0000010100101011</v>
      </c>
      <c r="M181" s="1" t="str">
        <f t="shared" si="47"/>
        <v>00000000010100101011</v>
      </c>
      <c r="N181" s="1" t="b">
        <f t="shared" si="48"/>
        <v>1</v>
      </c>
      <c r="O181" s="1">
        <f t="shared" si="49"/>
        <v>1323</v>
      </c>
    </row>
    <row r="182" spans="1:15" x14ac:dyDescent="0.25">
      <c r="A182" s="1">
        <v>2080</v>
      </c>
      <c r="B182" s="2" t="s">
        <v>140</v>
      </c>
      <c r="C182" s="3" t="str">
        <f>IF(RIGHT(B182,4)="0000", LEFT(B182,LEN(B182)-4),"")</f>
        <v/>
      </c>
      <c r="D182" s="1" t="b">
        <f>C182&amp;"0000" = B182</f>
        <v>0</v>
      </c>
      <c r="E182" s="1" t="str">
        <f t="shared" si="40"/>
        <v>00000000000000000000</v>
      </c>
      <c r="F182" s="1" t="str">
        <f t="shared" si="41"/>
        <v>0011</v>
      </c>
      <c r="G182" s="1" t="str">
        <f t="shared" si="42"/>
        <v>101100100111</v>
      </c>
      <c r="H182" s="1">
        <f t="shared" si="43"/>
        <v>0</v>
      </c>
      <c r="I182" s="1" t="str">
        <f t="shared" si="44"/>
        <v>1010100100111</v>
      </c>
      <c r="J182" s="1">
        <f t="shared" si="45"/>
        <v>3</v>
      </c>
      <c r="K182" s="1" t="str">
        <f t="shared" si="46"/>
        <v>0001010100100111</v>
      </c>
      <c r="M182" s="1" t="str">
        <f t="shared" si="47"/>
        <v>00110001010100100111</v>
      </c>
      <c r="N182" s="1" t="b">
        <f t="shared" si="48"/>
        <v>0</v>
      </c>
      <c r="O182" s="1">
        <f t="shared" si="49"/>
        <v>202023</v>
      </c>
    </row>
    <row r="183" spans="1:15" x14ac:dyDescent="0.25">
      <c r="A183" s="1">
        <v>2081</v>
      </c>
      <c r="B183" s="2" t="s">
        <v>141</v>
      </c>
      <c r="C183" s="3" t="str">
        <f>IF(RIGHT(B183,4)="0000", LEFT(B183,LEN(B183)-4),"")</f>
        <v>11010010011</v>
      </c>
      <c r="D183" s="1" t="b">
        <f>C183&amp;"0000" = B183</f>
        <v>1</v>
      </c>
      <c r="E183" s="1" t="str">
        <f t="shared" si="40"/>
        <v>00000000011010010011</v>
      </c>
      <c r="F183" s="1" t="str">
        <f t="shared" si="41"/>
        <v>0000</v>
      </c>
      <c r="G183" s="1" t="str">
        <f t="shared" si="42"/>
        <v>011010010011</v>
      </c>
      <c r="H183" s="1">
        <f t="shared" si="43"/>
        <v>0</v>
      </c>
      <c r="I183" s="1" t="str">
        <f t="shared" si="44"/>
        <v>0011010010011</v>
      </c>
      <c r="J183" s="1">
        <f t="shared" si="45"/>
        <v>0</v>
      </c>
      <c r="K183" s="1" t="str">
        <f t="shared" si="46"/>
        <v>0000011010010011</v>
      </c>
      <c r="M183" s="1" t="str">
        <f t="shared" si="47"/>
        <v>00000000011010010011</v>
      </c>
      <c r="N183" s="1" t="b">
        <f t="shared" si="48"/>
        <v>1</v>
      </c>
      <c r="O183" s="1">
        <f t="shared" si="49"/>
        <v>1683</v>
      </c>
    </row>
    <row r="184" spans="1:15" x14ac:dyDescent="0.25">
      <c r="A184" s="1">
        <v>2082</v>
      </c>
      <c r="B184" s="2" t="s">
        <v>142</v>
      </c>
      <c r="C184" s="3" t="str">
        <f>IF(RIGHT(B184,4)="0000", LEFT(B184,LEN(B184)-4),"")</f>
        <v/>
      </c>
      <c r="D184" s="1" t="b">
        <f>C184&amp;"0000" = B184</f>
        <v>0</v>
      </c>
      <c r="E184" s="1" t="str">
        <f t="shared" si="40"/>
        <v>00000000000000000000</v>
      </c>
      <c r="F184" s="1" t="str">
        <f t="shared" si="41"/>
        <v>0111</v>
      </c>
      <c r="G184" s="1" t="str">
        <f t="shared" si="42"/>
        <v>011100110011</v>
      </c>
      <c r="H184" s="1">
        <f t="shared" si="43"/>
        <v>0</v>
      </c>
      <c r="I184" s="1" t="str">
        <f t="shared" si="44"/>
        <v>0111001010011</v>
      </c>
      <c r="J184" s="1">
        <f t="shared" si="45"/>
        <v>7</v>
      </c>
      <c r="K184" s="1" t="str">
        <f t="shared" si="46"/>
        <v>0000111001010011</v>
      </c>
      <c r="M184" s="1" t="str">
        <f t="shared" si="47"/>
        <v>01110000111001010011</v>
      </c>
      <c r="N184" s="1" t="b">
        <f t="shared" si="48"/>
        <v>0</v>
      </c>
      <c r="O184" s="1">
        <f t="shared" si="49"/>
        <v>462419</v>
      </c>
    </row>
    <row r="185" spans="1:15" x14ac:dyDescent="0.25">
      <c r="A185" s="1">
        <v>2083</v>
      </c>
      <c r="B185" s="2" t="s">
        <v>57</v>
      </c>
      <c r="C185" s="3" t="str">
        <f>IF(RIGHT(B185,4)="0000", LEFT(B185,LEN(B185)-4),"")</f>
        <v>11010101010</v>
      </c>
      <c r="D185" s="1" t="b">
        <f>C185&amp;"0000" = B185</f>
        <v>1</v>
      </c>
      <c r="E185" s="1" t="str">
        <f t="shared" si="40"/>
        <v>00000000011010101010</v>
      </c>
      <c r="F185" s="1" t="str">
        <f t="shared" si="41"/>
        <v>0000</v>
      </c>
      <c r="G185" s="1" t="str">
        <f t="shared" si="42"/>
        <v>011010101010</v>
      </c>
      <c r="H185" s="1">
        <f t="shared" si="43"/>
        <v>0</v>
      </c>
      <c r="I185" s="1" t="str">
        <f t="shared" si="44"/>
        <v>0011010101010</v>
      </c>
      <c r="J185" s="1">
        <f t="shared" si="45"/>
        <v>0</v>
      </c>
      <c r="K185" s="1" t="str">
        <f t="shared" si="46"/>
        <v>0000011010101010</v>
      </c>
      <c r="M185" s="1" t="str">
        <f t="shared" si="47"/>
        <v>00000000011010101010</v>
      </c>
      <c r="N185" s="1" t="b">
        <f t="shared" si="48"/>
        <v>1</v>
      </c>
      <c r="O185" s="1">
        <f t="shared" si="49"/>
        <v>1706</v>
      </c>
    </row>
    <row r="186" spans="1:15" x14ac:dyDescent="0.25">
      <c r="A186" s="1">
        <v>2084</v>
      </c>
      <c r="B186" s="2" t="s">
        <v>95</v>
      </c>
      <c r="C186" s="3" t="str">
        <f>IF(RIGHT(B186,4)="0000", LEFT(B186,LEN(B186)-4),"")</f>
        <v>101011010101</v>
      </c>
      <c r="D186" s="1" t="b">
        <f>C186&amp;"0000" = B186</f>
        <v>1</v>
      </c>
      <c r="E186" s="1" t="str">
        <f t="shared" si="40"/>
        <v>00000000101011010101</v>
      </c>
      <c r="F186" s="1" t="str">
        <f t="shared" si="41"/>
        <v>0000</v>
      </c>
      <c r="G186" s="1" t="str">
        <f t="shared" si="42"/>
        <v>101011010101</v>
      </c>
      <c r="H186" s="1">
        <f t="shared" si="43"/>
        <v>0</v>
      </c>
      <c r="I186" s="1" t="str">
        <f t="shared" si="44"/>
        <v>0101011010101</v>
      </c>
      <c r="J186" s="1">
        <f t="shared" si="45"/>
        <v>0</v>
      </c>
      <c r="K186" s="1" t="str">
        <f t="shared" si="46"/>
        <v>0000101011010101</v>
      </c>
      <c r="M186" s="1" t="str">
        <f t="shared" si="47"/>
        <v>00000000101011010101</v>
      </c>
      <c r="N186" s="1" t="b">
        <f t="shared" si="48"/>
        <v>1</v>
      </c>
      <c r="O186" s="1">
        <f t="shared" si="49"/>
        <v>2773</v>
      </c>
    </row>
    <row r="187" spans="1:15" x14ac:dyDescent="0.25">
      <c r="A187" s="1">
        <v>2085</v>
      </c>
      <c r="B187" s="2" t="s">
        <v>143</v>
      </c>
      <c r="C187" s="3" t="str">
        <f>IF(RIGHT(B187,4)="0000", LEFT(B187,LEN(B187)-4),"")</f>
        <v/>
      </c>
      <c r="D187" s="1" t="b">
        <f>C187&amp;"0000" = B187</f>
        <v>0</v>
      </c>
      <c r="E187" s="1" t="str">
        <f t="shared" si="40"/>
        <v>00000000000000000000</v>
      </c>
      <c r="F187" s="1" t="str">
        <f t="shared" si="41"/>
        <v>0101</v>
      </c>
      <c r="G187" s="1" t="str">
        <f t="shared" si="42"/>
        <v>010010110101</v>
      </c>
      <c r="H187" s="1">
        <f t="shared" si="43"/>
        <v>1</v>
      </c>
      <c r="I187" s="1" t="str">
        <f t="shared" si="44"/>
        <v>0100110110101</v>
      </c>
      <c r="J187" s="1">
        <f t="shared" si="45"/>
        <v>5</v>
      </c>
      <c r="K187" s="1" t="str">
        <f t="shared" si="46"/>
        <v>0000100110110101</v>
      </c>
      <c r="M187" s="1" t="str">
        <f t="shared" si="47"/>
        <v>01010000100110110101</v>
      </c>
      <c r="N187" s="1" t="b">
        <f t="shared" si="48"/>
        <v>0</v>
      </c>
      <c r="O187" s="1">
        <f t="shared" si="49"/>
        <v>330165</v>
      </c>
    </row>
    <row r="188" spans="1:15" x14ac:dyDescent="0.25">
      <c r="A188" s="1">
        <v>2086</v>
      </c>
      <c r="B188" s="2" t="s">
        <v>144</v>
      </c>
      <c r="C188" s="3" t="str">
        <f>IF(RIGHT(B188,4)="0000", LEFT(B188,LEN(B188)-4),"")</f>
        <v/>
      </c>
      <c r="D188" s="1" t="b">
        <f>C188&amp;"0000" = B188</f>
        <v>0</v>
      </c>
      <c r="E188" s="1" t="str">
        <f t="shared" si="40"/>
        <v>00000000000000000000</v>
      </c>
      <c r="F188" s="1" t="str">
        <f t="shared" si="41"/>
        <v>0000</v>
      </c>
      <c r="G188" s="1" t="str">
        <f t="shared" si="42"/>
        <v>010010110110</v>
      </c>
      <c r="H188" s="1">
        <f t="shared" si="43"/>
        <v>0</v>
      </c>
      <c r="I188" s="1" t="str">
        <f t="shared" si="44"/>
        <v>0010010110110</v>
      </c>
      <c r="J188" s="1">
        <f t="shared" si="45"/>
        <v>0</v>
      </c>
      <c r="K188" s="1" t="str">
        <f t="shared" si="46"/>
        <v>0000010010110110</v>
      </c>
      <c r="M188" s="1" t="str">
        <f t="shared" si="47"/>
        <v>00000000010010110110</v>
      </c>
      <c r="N188" s="1" t="b">
        <f t="shared" si="48"/>
        <v>0</v>
      </c>
      <c r="O188" s="1">
        <f t="shared" si="49"/>
        <v>1206</v>
      </c>
    </row>
    <row r="189" spans="1:15" x14ac:dyDescent="0.25">
      <c r="A189" s="1">
        <v>2087</v>
      </c>
      <c r="B189" s="2" t="s">
        <v>2</v>
      </c>
      <c r="C189" s="3" t="str">
        <f>IF(RIGHT(B189,4)="0000", LEFT(B189,LEN(B189)-4),"")</f>
        <v>101001010111</v>
      </c>
      <c r="D189" s="1" t="b">
        <f>C189&amp;"0000" = B189</f>
        <v>1</v>
      </c>
      <c r="E189" s="1" t="str">
        <f t="shared" si="40"/>
        <v>00000000101001010111</v>
      </c>
      <c r="F189" s="1" t="str">
        <f t="shared" si="41"/>
        <v>0000</v>
      </c>
      <c r="G189" s="1" t="str">
        <f t="shared" si="42"/>
        <v>101001010111</v>
      </c>
      <c r="H189" s="1">
        <f t="shared" si="43"/>
        <v>0</v>
      </c>
      <c r="I189" s="1" t="str">
        <f t="shared" si="44"/>
        <v>0101001010111</v>
      </c>
      <c r="J189" s="1">
        <f t="shared" si="45"/>
        <v>0</v>
      </c>
      <c r="K189" s="1" t="str">
        <f t="shared" si="46"/>
        <v>0000101001010111</v>
      </c>
      <c r="M189" s="1" t="str">
        <f t="shared" si="47"/>
        <v>00000000101001010111</v>
      </c>
      <c r="N189" s="1" t="b">
        <f t="shared" si="48"/>
        <v>1</v>
      </c>
      <c r="O189" s="1">
        <f t="shared" si="49"/>
        <v>2647</v>
      </c>
    </row>
    <row r="190" spans="1:15" x14ac:dyDescent="0.25">
      <c r="A190" s="1">
        <v>2088</v>
      </c>
      <c r="B190" s="2" t="s">
        <v>145</v>
      </c>
      <c r="C190" s="3" t="str">
        <f>IF(RIGHT(B190,4)="0000", LEFT(B190,LEN(B190)-4),"")</f>
        <v/>
      </c>
      <c r="D190" s="1" t="b">
        <f>C190&amp;"0000" = B190</f>
        <v>0</v>
      </c>
      <c r="E190" s="1" t="str">
        <f t="shared" si="40"/>
        <v>00000000000000000000</v>
      </c>
      <c r="F190" s="1" t="str">
        <f t="shared" si="41"/>
        <v>0100</v>
      </c>
      <c r="G190" s="1" t="str">
        <f t="shared" si="42"/>
        <v>010101001110</v>
      </c>
      <c r="H190" s="1">
        <f t="shared" si="43"/>
        <v>0</v>
      </c>
      <c r="I190" s="1" t="str">
        <f t="shared" si="44"/>
        <v>0101001001110</v>
      </c>
      <c r="J190" s="1">
        <f t="shared" si="45"/>
        <v>4</v>
      </c>
      <c r="K190" s="1" t="str">
        <f t="shared" si="46"/>
        <v>0000101001001110</v>
      </c>
      <c r="M190" s="1" t="str">
        <f t="shared" si="47"/>
        <v>01000000101001001110</v>
      </c>
      <c r="N190" s="1" t="b">
        <f t="shared" si="48"/>
        <v>0</v>
      </c>
      <c r="O190" s="1">
        <f t="shared" si="49"/>
        <v>264782</v>
      </c>
    </row>
    <row r="191" spans="1:15" x14ac:dyDescent="0.25">
      <c r="A191" s="1">
        <v>2089</v>
      </c>
      <c r="B191" s="2" t="s">
        <v>4</v>
      </c>
      <c r="C191" s="3" t="str">
        <f>IF(RIGHT(B191,4)="0000", LEFT(B191,LEN(B191)-4),"")</f>
        <v>110100100110</v>
      </c>
      <c r="D191" s="1" t="b">
        <f>C191&amp;"0000" = B191</f>
        <v>1</v>
      </c>
      <c r="E191" s="1" t="str">
        <f t="shared" ref="E191:E202" si="50">RIGHT("00000000000000000000" &amp; C191,20)</f>
        <v>00000000110100100110</v>
      </c>
      <c r="F191" s="1" t="str">
        <f t="shared" ref="F191:F202" si="51">IF(RIGHT(B191,4)="1111","0000",RIGHT(B191,4))</f>
        <v>0000</v>
      </c>
      <c r="G191" s="1" t="str">
        <f t="shared" ref="G191:G202" si="52">RIGHT("00000" &amp; LEFT(B191,LEN(B191)-4),12)</f>
        <v>110100100110</v>
      </c>
      <c r="H191" s="1">
        <f t="shared" ref="H191:H202" si="53">IF(RIGHT(B192,4)="1111",1,0)</f>
        <v>0</v>
      </c>
      <c r="I191" s="1" t="str">
        <f t="shared" ref="I191:I202" si="54">LEFT(G191,J191) &amp; H191 &amp; MID(G191,J191+1,100)</f>
        <v>0110100100110</v>
      </c>
      <c r="J191" s="1">
        <f t="shared" ref="J191:J202" si="55">BIN2DEC(F191)</f>
        <v>0</v>
      </c>
      <c r="K191" s="1" t="str">
        <f t="shared" ref="K191:K202" si="56">RIGHT("000000000000000" &amp; I191,16)</f>
        <v>0000110100100110</v>
      </c>
      <c r="M191" s="1" t="str">
        <f t="shared" ref="M191:M202" si="57">IF(F191="0000",RIGHT("00000000000000000000" &amp; LEFT(B191,LEN(B191)-4),20),F191&amp;K191)</f>
        <v>00000000110100100110</v>
      </c>
      <c r="N191" s="1" t="b">
        <f t="shared" ref="N191:N202" si="58">M191=E191</f>
        <v>1</v>
      </c>
      <c r="O191" s="1">
        <f t="shared" si="49"/>
        <v>3366</v>
      </c>
    </row>
    <row r="192" spans="1:15" x14ac:dyDescent="0.25">
      <c r="A192" s="1">
        <v>2090</v>
      </c>
      <c r="B192" s="2" t="s">
        <v>146</v>
      </c>
      <c r="C192" s="3" t="str">
        <f>IF(RIGHT(B192,4)="0000", LEFT(B192,LEN(B192)-4),"")</f>
        <v/>
      </c>
      <c r="D192" s="1" t="b">
        <f>C192&amp;"0000" = B192</f>
        <v>0</v>
      </c>
      <c r="E192" s="1" t="str">
        <f t="shared" si="50"/>
        <v>00000000000000000000</v>
      </c>
      <c r="F192" s="1" t="str">
        <f t="shared" si="51"/>
        <v>1000</v>
      </c>
      <c r="G192" s="1" t="str">
        <f t="shared" si="52"/>
        <v>111010010110</v>
      </c>
      <c r="H192" s="1">
        <f t="shared" si="53"/>
        <v>0</v>
      </c>
      <c r="I192" s="1" t="str">
        <f t="shared" si="54"/>
        <v>1110100100110</v>
      </c>
      <c r="J192" s="1">
        <f t="shared" si="55"/>
        <v>8</v>
      </c>
      <c r="K192" s="1" t="str">
        <f t="shared" si="56"/>
        <v>0001110100100110</v>
      </c>
      <c r="M192" s="1" t="str">
        <f t="shared" si="57"/>
        <v>10000001110100100110</v>
      </c>
      <c r="N192" s="1" t="b">
        <f t="shared" si="58"/>
        <v>0</v>
      </c>
      <c r="O192" s="1">
        <f t="shared" si="49"/>
        <v>531750</v>
      </c>
    </row>
    <row r="193" spans="1:15" x14ac:dyDescent="0.25">
      <c r="A193" s="1">
        <v>2091</v>
      </c>
      <c r="B193" s="2" t="s">
        <v>111</v>
      </c>
      <c r="C193" s="3" t="str">
        <f>IF(RIGHT(B193,4)="0000", LEFT(B193,LEN(B193)-4),"")</f>
        <v>110101010010</v>
      </c>
      <c r="D193" s="1" t="b">
        <f>C193&amp;"0000" = B193</f>
        <v>1</v>
      </c>
      <c r="E193" s="1" t="str">
        <f t="shared" si="50"/>
        <v>00000000110101010010</v>
      </c>
      <c r="F193" s="1" t="str">
        <f t="shared" si="51"/>
        <v>0000</v>
      </c>
      <c r="G193" s="1" t="str">
        <f t="shared" si="52"/>
        <v>110101010010</v>
      </c>
      <c r="H193" s="1">
        <f t="shared" si="53"/>
        <v>0</v>
      </c>
      <c r="I193" s="1" t="str">
        <f t="shared" si="54"/>
        <v>0110101010010</v>
      </c>
      <c r="J193" s="1">
        <f t="shared" si="55"/>
        <v>0</v>
      </c>
      <c r="K193" s="1" t="str">
        <f t="shared" si="56"/>
        <v>0000110101010010</v>
      </c>
      <c r="M193" s="1" t="str">
        <f t="shared" si="57"/>
        <v>00000000110101010010</v>
      </c>
      <c r="N193" s="1" t="b">
        <f t="shared" si="58"/>
        <v>1</v>
      </c>
      <c r="O193" s="1">
        <f t="shared" si="49"/>
        <v>3410</v>
      </c>
    </row>
    <row r="194" spans="1:15" x14ac:dyDescent="0.25">
      <c r="A194" s="1">
        <v>2092</v>
      </c>
      <c r="B194" s="2" t="s">
        <v>147</v>
      </c>
      <c r="C194" s="3" t="str">
        <f>IF(RIGHT(B194,4)="0000", LEFT(B194,LEN(B194)-4),"")</f>
        <v>110110101010</v>
      </c>
      <c r="D194" s="1" t="b">
        <f>C194&amp;"0000" = B194</f>
        <v>1</v>
      </c>
      <c r="E194" s="1" t="str">
        <f t="shared" si="50"/>
        <v>00000000110110101010</v>
      </c>
      <c r="F194" s="1" t="str">
        <f t="shared" si="51"/>
        <v>0000</v>
      </c>
      <c r="G194" s="1" t="str">
        <f t="shared" si="52"/>
        <v>110110101010</v>
      </c>
      <c r="H194" s="1">
        <f t="shared" si="53"/>
        <v>0</v>
      </c>
      <c r="I194" s="1" t="str">
        <f t="shared" si="54"/>
        <v>0110110101010</v>
      </c>
      <c r="J194" s="1">
        <f t="shared" si="55"/>
        <v>0</v>
      </c>
      <c r="K194" s="1" t="str">
        <f t="shared" si="56"/>
        <v>0000110110101010</v>
      </c>
      <c r="M194" s="1" t="str">
        <f t="shared" si="57"/>
        <v>00000000110110101010</v>
      </c>
      <c r="N194" s="1" t="b">
        <f t="shared" si="58"/>
        <v>1</v>
      </c>
      <c r="O194" s="1">
        <f t="shared" si="49"/>
        <v>3498</v>
      </c>
    </row>
    <row r="195" spans="1:15" x14ac:dyDescent="0.25">
      <c r="A195" s="1">
        <v>2093</v>
      </c>
      <c r="B195" s="2" t="s">
        <v>148</v>
      </c>
      <c r="C195" s="3" t="str">
        <f>IF(RIGHT(B195,4)="0000", LEFT(B195,LEN(B195)-4),"")</f>
        <v/>
      </c>
      <c r="D195" s="1" t="b">
        <f>C195&amp;"0000" = B195</f>
        <v>0</v>
      </c>
      <c r="E195" s="1" t="str">
        <f t="shared" si="50"/>
        <v>00000000000000000000</v>
      </c>
      <c r="F195" s="1" t="str">
        <f t="shared" si="51"/>
        <v>0110</v>
      </c>
      <c r="G195" s="1" t="str">
        <f t="shared" si="52"/>
        <v>011010101010</v>
      </c>
      <c r="H195" s="1">
        <f t="shared" si="53"/>
        <v>1</v>
      </c>
      <c r="I195" s="1" t="str">
        <f t="shared" si="54"/>
        <v>0110101101010</v>
      </c>
      <c r="J195" s="1">
        <f t="shared" si="55"/>
        <v>6</v>
      </c>
      <c r="K195" s="1" t="str">
        <f t="shared" si="56"/>
        <v>0000110101101010</v>
      </c>
      <c r="M195" s="1" t="str">
        <f t="shared" si="57"/>
        <v>01100000110101101010</v>
      </c>
      <c r="N195" s="1" t="b">
        <f t="shared" si="58"/>
        <v>0</v>
      </c>
      <c r="O195" s="1">
        <f t="shared" ref="O195:O202" si="59">mBin2Dec(M195)</f>
        <v>396650</v>
      </c>
    </row>
    <row r="196" spans="1:15" x14ac:dyDescent="0.25">
      <c r="A196" s="1">
        <v>2094</v>
      </c>
      <c r="B196" s="2" t="s">
        <v>149</v>
      </c>
      <c r="C196" s="3" t="str">
        <f>IF(RIGHT(B196,4)="0000", LEFT(B196,LEN(B196)-4),"")</f>
        <v/>
      </c>
      <c r="D196" s="1" t="b">
        <f>C196&amp;"0000" = B196</f>
        <v>0</v>
      </c>
      <c r="E196" s="1" t="str">
        <f t="shared" si="50"/>
        <v>00000000000000000000</v>
      </c>
      <c r="F196" s="1" t="str">
        <f t="shared" si="51"/>
        <v>0000</v>
      </c>
      <c r="G196" s="1" t="str">
        <f t="shared" si="52"/>
        <v>010101101101</v>
      </c>
      <c r="H196" s="1">
        <f t="shared" si="53"/>
        <v>0</v>
      </c>
      <c r="I196" s="1" t="str">
        <f t="shared" si="54"/>
        <v>0010101101101</v>
      </c>
      <c r="J196" s="1">
        <f t="shared" si="55"/>
        <v>0</v>
      </c>
      <c r="K196" s="1" t="str">
        <f t="shared" si="56"/>
        <v>0000010101101101</v>
      </c>
      <c r="M196" s="1" t="str">
        <f t="shared" si="57"/>
        <v>00000000010101101101</v>
      </c>
      <c r="N196" s="1" t="b">
        <f t="shared" si="58"/>
        <v>0</v>
      </c>
      <c r="O196" s="1">
        <f t="shared" si="59"/>
        <v>1389</v>
      </c>
    </row>
    <row r="197" spans="1:15" x14ac:dyDescent="0.25">
      <c r="A197" s="1">
        <v>2095</v>
      </c>
      <c r="B197" s="2" t="s">
        <v>1</v>
      </c>
      <c r="C197" s="3" t="str">
        <f>IF(RIGHT(B197,4)="0000", LEFT(B197,LEN(B197)-4),"")</f>
        <v>10010101110</v>
      </c>
      <c r="D197" s="1" t="b">
        <f>C197&amp;"0000" = B197</f>
        <v>1</v>
      </c>
      <c r="E197" s="1" t="str">
        <f t="shared" si="50"/>
        <v>00000000010010101110</v>
      </c>
      <c r="F197" s="1" t="str">
        <f t="shared" si="51"/>
        <v>0000</v>
      </c>
      <c r="G197" s="1" t="str">
        <f t="shared" si="52"/>
        <v>010010101110</v>
      </c>
      <c r="H197" s="1">
        <f t="shared" si="53"/>
        <v>0</v>
      </c>
      <c r="I197" s="1" t="str">
        <f t="shared" si="54"/>
        <v>0010010101110</v>
      </c>
      <c r="J197" s="1">
        <f t="shared" si="55"/>
        <v>0</v>
      </c>
      <c r="K197" s="1" t="str">
        <f t="shared" si="56"/>
        <v>0000010010101110</v>
      </c>
      <c r="M197" s="1" t="str">
        <f t="shared" si="57"/>
        <v>00000000010010101110</v>
      </c>
      <c r="N197" s="1" t="b">
        <f t="shared" si="58"/>
        <v>1</v>
      </c>
      <c r="O197" s="1">
        <f t="shared" si="59"/>
        <v>1198</v>
      </c>
    </row>
    <row r="198" spans="1:15" x14ac:dyDescent="0.25">
      <c r="A198" s="1">
        <v>2096</v>
      </c>
      <c r="B198" s="2" t="s">
        <v>150</v>
      </c>
      <c r="C198" s="3" t="str">
        <f>IF(RIGHT(B198,4)="0000", LEFT(B198,LEN(B198)-4),"")</f>
        <v/>
      </c>
      <c r="D198" s="1" t="b">
        <f>C198&amp;"0000" = B198</f>
        <v>0</v>
      </c>
      <c r="E198" s="1" t="str">
        <f t="shared" si="50"/>
        <v>00000000000000000000</v>
      </c>
      <c r="F198" s="1" t="str">
        <f t="shared" si="51"/>
        <v>0100</v>
      </c>
      <c r="G198" s="1" t="str">
        <f t="shared" si="52"/>
        <v>101010011101</v>
      </c>
      <c r="H198" s="1">
        <f t="shared" si="53"/>
        <v>0</v>
      </c>
      <c r="I198" s="1" t="str">
        <f t="shared" si="54"/>
        <v>1010010011101</v>
      </c>
      <c r="J198" s="1">
        <f t="shared" si="55"/>
        <v>4</v>
      </c>
      <c r="K198" s="1" t="str">
        <f t="shared" si="56"/>
        <v>0001010010011101</v>
      </c>
      <c r="M198" s="1" t="str">
        <f t="shared" si="57"/>
        <v>01000001010010011101</v>
      </c>
      <c r="N198" s="1" t="b">
        <f t="shared" si="58"/>
        <v>0</v>
      </c>
      <c r="O198" s="1">
        <f t="shared" si="59"/>
        <v>267421</v>
      </c>
    </row>
    <row r="199" spans="1:15" x14ac:dyDescent="0.25">
      <c r="A199" s="1">
        <v>2097</v>
      </c>
      <c r="B199" s="2" t="s">
        <v>11</v>
      </c>
      <c r="C199" s="3" t="str">
        <f>IF(RIGHT(B199,4)="0000", LEFT(B199,LEN(B199)-4),"")</f>
        <v>101001001101</v>
      </c>
      <c r="D199" s="1" t="b">
        <f>C199&amp;"0000" = B199</f>
        <v>1</v>
      </c>
      <c r="E199" s="1" t="str">
        <f t="shared" si="50"/>
        <v>00000000101001001101</v>
      </c>
      <c r="F199" s="1" t="str">
        <f t="shared" si="51"/>
        <v>0000</v>
      </c>
      <c r="G199" s="1" t="str">
        <f t="shared" si="52"/>
        <v>101001001101</v>
      </c>
      <c r="H199" s="1">
        <f t="shared" si="53"/>
        <v>0</v>
      </c>
      <c r="I199" s="1" t="str">
        <f t="shared" si="54"/>
        <v>0101001001101</v>
      </c>
      <c r="J199" s="1">
        <f t="shared" si="55"/>
        <v>0</v>
      </c>
      <c r="K199" s="1" t="str">
        <f t="shared" si="56"/>
        <v>0000101001001101</v>
      </c>
      <c r="M199" s="1" t="str">
        <f t="shared" si="57"/>
        <v>00000000101001001101</v>
      </c>
      <c r="N199" s="1" t="b">
        <f t="shared" si="58"/>
        <v>1</v>
      </c>
      <c r="O199" s="1">
        <f t="shared" si="59"/>
        <v>2637</v>
      </c>
    </row>
    <row r="200" spans="1:15" x14ac:dyDescent="0.25">
      <c r="A200" s="1">
        <v>2098</v>
      </c>
      <c r="B200" s="2" t="s">
        <v>151</v>
      </c>
      <c r="C200" s="3" t="str">
        <f>IF(RIGHT(B200,4)="0000", LEFT(B200,LEN(B200)-4),"")</f>
        <v>110100010101</v>
      </c>
      <c r="D200" s="1" t="b">
        <f>C200&amp;"0000" = B200</f>
        <v>1</v>
      </c>
      <c r="E200" s="1" t="str">
        <f t="shared" si="50"/>
        <v>00000000110100010101</v>
      </c>
      <c r="F200" s="1" t="str">
        <f t="shared" si="51"/>
        <v>0000</v>
      </c>
      <c r="G200" s="1" t="str">
        <f t="shared" si="52"/>
        <v>110100010101</v>
      </c>
      <c r="H200" s="1">
        <f t="shared" si="53"/>
        <v>0</v>
      </c>
      <c r="I200" s="1" t="str">
        <f t="shared" si="54"/>
        <v>0110100010101</v>
      </c>
      <c r="J200" s="1">
        <f t="shared" si="55"/>
        <v>0</v>
      </c>
      <c r="K200" s="1" t="str">
        <f t="shared" si="56"/>
        <v>0000110100010101</v>
      </c>
      <c r="M200" s="1" t="str">
        <f t="shared" si="57"/>
        <v>00000000110100010101</v>
      </c>
      <c r="N200" s="1" t="b">
        <f t="shared" si="58"/>
        <v>1</v>
      </c>
      <c r="O200" s="1">
        <f t="shared" si="59"/>
        <v>3349</v>
      </c>
    </row>
    <row r="201" spans="1:15" x14ac:dyDescent="0.25">
      <c r="A201" s="1">
        <v>2099</v>
      </c>
      <c r="B201" s="2" t="s">
        <v>152</v>
      </c>
      <c r="C201" s="3" t="str">
        <f>IF(RIGHT(B201,4)="0000", LEFT(B201,LEN(B201)-4),"")</f>
        <v/>
      </c>
      <c r="D201" s="1" t="b">
        <f>C201&amp;"0000" = B201</f>
        <v>0</v>
      </c>
      <c r="E201" s="1" t="str">
        <f t="shared" si="50"/>
        <v>00000000000000000000</v>
      </c>
      <c r="F201" s="1" t="str">
        <f t="shared" si="51"/>
        <v>0010</v>
      </c>
      <c r="G201" s="1" t="str">
        <f t="shared" si="52"/>
        <v>111100100101</v>
      </c>
      <c r="H201" s="1">
        <f t="shared" si="53"/>
        <v>0</v>
      </c>
      <c r="I201" s="1" t="str">
        <f t="shared" si="54"/>
        <v>1101100100101</v>
      </c>
      <c r="J201" s="1">
        <f t="shared" si="55"/>
        <v>2</v>
      </c>
      <c r="K201" s="1" t="str">
        <f t="shared" si="56"/>
        <v>0001101100100101</v>
      </c>
      <c r="M201" s="1" t="str">
        <f t="shared" si="57"/>
        <v>00100001101100100101</v>
      </c>
      <c r="N201" s="1" t="b">
        <f t="shared" si="58"/>
        <v>0</v>
      </c>
      <c r="O201" s="1">
        <f t="shared" si="59"/>
        <v>138021</v>
      </c>
    </row>
    <row r="202" spans="1:15" x14ac:dyDescent="0.25">
      <c r="A202" s="1">
        <v>2100</v>
      </c>
      <c r="B202" s="2" t="s">
        <v>111</v>
      </c>
      <c r="C202" s="3" t="str">
        <f>IF(RIGHT(B202,4)="0000", LEFT(B202,LEN(B202)-4),"")</f>
        <v>110101010010</v>
      </c>
      <c r="D202" s="1" t="b">
        <f>C202&amp;"0000" = B202</f>
        <v>1</v>
      </c>
      <c r="E202" s="1" t="str">
        <f t="shared" si="50"/>
        <v>00000000110101010010</v>
      </c>
      <c r="F202" s="1" t="str">
        <f t="shared" si="51"/>
        <v>0000</v>
      </c>
      <c r="G202" s="1" t="str">
        <f t="shared" si="52"/>
        <v>110101010010</v>
      </c>
      <c r="H202" s="1">
        <f t="shared" si="53"/>
        <v>0</v>
      </c>
      <c r="I202" s="1" t="str">
        <f t="shared" si="54"/>
        <v>0110101010010</v>
      </c>
      <c r="J202" s="1">
        <f t="shared" si="55"/>
        <v>0</v>
      </c>
      <c r="K202" s="1" t="str">
        <f t="shared" si="56"/>
        <v>0000110101010010</v>
      </c>
      <c r="M202" s="1" t="str">
        <f t="shared" si="57"/>
        <v>00000000110101010010</v>
      </c>
      <c r="N202" s="1" t="b">
        <f t="shared" si="58"/>
        <v>1</v>
      </c>
      <c r="O202" s="1">
        <f t="shared" si="59"/>
        <v>3410</v>
      </c>
    </row>
    <row r="203" spans="1:15" x14ac:dyDescent="0.25">
      <c r="B203" s="2"/>
    </row>
  </sheetData>
  <autoFilter ref="A1:D202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workbookViewId="0">
      <selection sqref="A1:D5"/>
    </sheetView>
  </sheetViews>
  <sheetFormatPr defaultRowHeight="15" x14ac:dyDescent="0.25"/>
  <sheetData>
    <row r="1" spans="1:4" x14ac:dyDescent="0.25">
      <c r="D1" t="s">
        <v>20</v>
      </c>
    </row>
    <row r="2" spans="1:4" x14ac:dyDescent="0.25">
      <c r="D2" t="s">
        <v>153</v>
      </c>
    </row>
    <row r="3" spans="1:4" x14ac:dyDescent="0.25">
      <c r="A3">
        <v>1922</v>
      </c>
      <c r="D3" t="s">
        <v>21</v>
      </c>
    </row>
    <row r="4" spans="1:4" x14ac:dyDescent="0.25">
      <c r="A4" t="str">
        <f ca="1">OFFSET(Sheet1!$A$2,$A$3-1900,1)</f>
        <v>1011010010110101</v>
      </c>
      <c r="D4" t="s">
        <v>154</v>
      </c>
    </row>
    <row r="5" spans="1:4" x14ac:dyDescent="0.25">
      <c r="A5" t="str">
        <f ca="1">OFFSET(Sheet1!$A$2,$A$3-1900,2)</f>
        <v>1010001011001001011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orzTechnology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Yeechan Lu</dc:creator>
  <cp:lastModifiedBy>Yeechan Lu</cp:lastModifiedBy>
  <dcterms:created xsi:type="dcterms:W3CDTF">2010-07-30T03:02:10Z</dcterms:created>
  <dcterms:modified xsi:type="dcterms:W3CDTF">2010-07-30T04:30:13Z</dcterms:modified>
</cp:coreProperties>
</file>